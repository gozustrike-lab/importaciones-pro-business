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8"/>
  </bookViews>
  <sheets>
    <sheet sheetId="1" name="TODO" state="visible" r:id="rId4"/>
    <sheet sheetId="3" name="ABRIL" state="visible" r:id="rId5"/>
    <sheet sheetId="4" name="MAYO" state="visible" r:id="rId6"/>
    <sheet sheetId="5" name="JUNIO" state="visible" r:id="rId7"/>
    <sheet sheetId="7" name="JULIO" state="visible" r:id="rId8"/>
    <sheet sheetId="9" name="AGOSTO" state="visible" r:id="rId9"/>
    <sheet sheetId="11" name="SEPTIEMBRE" state="visible" r:id="rId10"/>
    <sheet sheetId="12" name="OCTUBRE" state="visible" r:id="rId11"/>
    <sheet sheetId="13" name="NOVIEMBRE" state="visible" r:id="rId12"/>
    <sheet sheetId="14" name="DICIEMBRE" state="visible" r:id="rId13"/>
    <sheet sheetId="15" name="ENERO" state="visible" r:id="rId14"/>
    <sheet sheetId="16" name="FEBRERO" state="visible" r:id="rId15"/>
  </sheets>
  <calcPr calcId="171027"/>
</workbook>
</file>

<file path=xl/sharedStrings.xml><?xml version="1.0" encoding="utf-8"?>
<sst xmlns="http://schemas.openxmlformats.org/spreadsheetml/2006/main" count="1720" uniqueCount="739">
  <si>
    <t>FECHA COMPRA</t>
  </si>
  <si>
    <t>HORA</t>
  </si>
  <si>
    <t>FECHA ENTREGA</t>
  </si>
  <si>
    <t>COURIER</t>
  </si>
  <si>
    <t>TRACKING</t>
  </si>
  <si>
    <t>URL</t>
  </si>
  <si>
    <t>DESCRIPCIÓN</t>
  </si>
  <si>
    <t>PRECIO COMPRA $</t>
  </si>
  <si>
    <t>PRECIO SOLES</t>
  </si>
  <si>
    <t>PRECIO DE VENTA</t>
  </si>
  <si>
    <t>PUBLICIDAD</t>
  </si>
  <si>
    <t>GANANCIA</t>
  </si>
  <si>
    <t>STOCK</t>
  </si>
  <si>
    <t>FECHA VENTA</t>
  </si>
  <si>
    <t>T/C</t>
  </si>
  <si>
    <t>5 de abril de 2025</t>
  </si>
  <si>
    <t>FedEx</t>
  </si>
  <si>
    <t>287292356050</t>
  </si>
  <si>
    <t>Apple iPhone 14 128GB Fully Unlocked Smartphone - Excellent</t>
  </si>
  <si>
    <t>11 de abril de 2025</t>
  </si>
  <si>
    <t>sábado 19 de abril de 2025</t>
  </si>
  <si>
    <t>USPS</t>
  </si>
  <si>
    <t>9434611106150435198173</t>
  </si>
  <si>
    <t>9.43461110615043e+21</t>
  </si>
  <si>
    <t>Tableta Apple iPad Pro 10.5" 256 GB (WiFi) A1701 Gris Espacial - Buena</t>
  </si>
  <si>
    <t>21 de mayo de 2025</t>
  </si>
  <si>
    <t>martes 27 de mayo de 2025</t>
  </si>
  <si>
    <t>288943536337</t>
  </si>
  <si>
    <t>Apple iPhone 13mini 128 GB desbloqueado negro en perfecto estado de funcionamiento</t>
  </si>
  <si>
    <t>4 de junio de 2025</t>
  </si>
  <si>
    <t>viernes 6 de junio de 2025</t>
  </si>
  <si>
    <t>289416224209</t>
  </si>
  <si>
    <t>Lenovo ThinkPad X280 12" i7-8550U 1.8GHz 16GB 512GB *Calificación C*</t>
  </si>
  <si>
    <t>TOTAL COMPRAS</t>
  </si>
  <si>
    <t>miércoles 11 de junio de 2025</t>
  </si>
  <si>
    <t>9434650206217031556863</t>
  </si>
  <si>
    <t>9.43465020621703e+21</t>
  </si>
  <si>
    <t>Apple iPad Pro 10.5 Gris Espacial 256 GB WiFi - Buen estado con pérdida de luz de fondo/tono</t>
  </si>
  <si>
    <t>lunes 9 de junio de 2025</t>
  </si>
  <si>
    <t>289451394806</t>
  </si>
  <si>
    <t>Apple iPad Pro 10.5 Gris Espacial 64 GB WiFi - Buen estado con manchas blancas/fuga de luz de fondo</t>
  </si>
  <si>
    <t>9434650206217032072539</t>
  </si>
  <si>
    <t>Apple iPad Pro 10.5 Gris Espacial 256 GB Desbloqueado - Buen Estado con Fuga de Retroiluminación</t>
  </si>
  <si>
    <t>17 de junio de 2025</t>
  </si>
  <si>
    <t>viernes 20 de junio</t>
  </si>
  <si>
    <t>390122963595</t>
  </si>
  <si>
    <t>Apple iPad Pro 9.7 Dorado 128 GB Desbloqueado - Buen Estado con Bisel Doblado/Tono Rosa</t>
  </si>
  <si>
    <t>TOTAL VENTAS</t>
  </si>
  <si>
    <t>18 de junio de 2025</t>
  </si>
  <si>
    <t>390138715050</t>
  </si>
  <si>
    <t>Apple iPad Pro 12.9 (1.ª generación) dorado de 128 GB desbloqueado - Buen estado con retroiluminación LEER</t>
  </si>
  <si>
    <t>TOTAL GANANCIA</t>
  </si>
  <si>
    <t xml:space="preserve">  </t>
  </si>
  <si>
    <t>NUMERO DE ORDEN</t>
  </si>
  <si>
    <t>21-12905-79427</t>
  </si>
  <si>
    <t>15-12938-66679</t>
  </si>
  <si>
    <t>03-13114-95406</t>
  </si>
  <si>
    <t>{</t>
  </si>
  <si>
    <t>SISTEMA</t>
  </si>
  <si>
    <t>ENVIADO EMBARCACIÓN</t>
  </si>
  <si>
    <t>PROVEEDOR</t>
  </si>
  <si>
    <t>PRECIO COMPRA S/</t>
  </si>
  <si>
    <t>COSTOS EXTRA</t>
  </si>
  <si>
    <t>SHIPPING</t>
  </si>
  <si>
    <t>PRECIO SUGERIDO</t>
  </si>
  <si>
    <t>METODO DE PAGO</t>
  </si>
  <si>
    <t>SI</t>
  </si>
  <si>
    <t>14-13155-82394</t>
  </si>
  <si>
    <t>ItsWorthMore</t>
  </si>
  <si>
    <t>Lenovo ThinkPad X280 12" i7-8550U 1.8GHz 16GB 512GB *Grade C*</t>
  </si>
  <si>
    <t>YAPE</t>
  </si>
  <si>
    <t>08-13163-74886</t>
  </si>
  <si>
    <t>BCP</t>
  </si>
  <si>
    <t>17-13152-95412</t>
  </si>
  <si>
    <t>TRANSFERENCIA BCP</t>
  </si>
  <si>
    <t>08-13165-39216</t>
  </si>
  <si>
    <t>25-13195-53426</t>
  </si>
  <si>
    <t>jueves 19 de junio</t>
  </si>
  <si>
    <t>22-13202-75920</t>
  </si>
  <si>
    <t>20 de junio de 2025</t>
  </si>
  <si>
    <t>jueves 26 de junio</t>
  </si>
  <si>
    <t>09-13227-29277</t>
  </si>
  <si>
    <t>9400150899563019850716</t>
  </si>
  <si>
    <t>9.40015089956301e+21</t>
  </si>
  <si>
    <t>WATCHGOOROO</t>
  </si>
  <si>
    <t xml:space="preserve">Reloj Invicta Pro Diver de 45 mm con correa de caucho y cuarzo para hombre </t>
  </si>
  <si>
    <t>22 de junio de 2025</t>
  </si>
  <si>
    <t>07-13238-91427</t>
  </si>
  <si>
    <t>390266893450</t>
  </si>
  <si>
    <t>Apple iPad 6 Gris Espacial 32 GB WiFi - Buen estado con LCD dañado</t>
  </si>
  <si>
    <t>23 de junio de 2025</t>
  </si>
  <si>
    <t>11-13235-70027</t>
  </si>
  <si>
    <t>390293187390</t>
  </si>
  <si>
    <t>Apple iPad 6 Gris Espacial 32 GB WiFi - Buen Estado con Bisel Doblado</t>
  </si>
  <si>
    <t>miércoles 25 de junio</t>
  </si>
  <si>
    <t>25-13219-62627</t>
  </si>
  <si>
    <t>390322005262</t>
  </si>
  <si>
    <t>Microsoft Surface Pro 7 12.3 Plata 1.2 GHz i3-1005G1 4GB 128GB Muy Bueno</t>
  </si>
  <si>
    <t>24 de junio de 2025</t>
  </si>
  <si>
    <t>23-13226-31169</t>
  </si>
  <si>
    <t>390358004771</t>
  </si>
  <si>
    <t>Apple iPad Air 2 Gris Espacial 32 GB WiFi - Buen estado con pérdida de luz de fondo/Botón defectuoso</t>
  </si>
  <si>
    <t>25 de junio de 2025</t>
  </si>
  <si>
    <t>lunes 30 de junio</t>
  </si>
  <si>
    <t>11-13244-40822</t>
  </si>
  <si>
    <t>390404256148</t>
  </si>
  <si>
    <t>Apple iPad Pro 10.5 Gris Espacial 256 GB Desbloqueado - Buen estado con pérdida de luz de fondo severa</t>
  </si>
  <si>
    <t>28 de junio de 2025</t>
  </si>
  <si>
    <t>martes 1 de julio</t>
  </si>
  <si>
    <t>08-13258-01823</t>
  </si>
  <si>
    <t>390512357619</t>
  </si>
  <si>
    <t>Apple iPad Pro 12.9 (2.ª generación) Gris espacial 256 GB desbloqueado - Buen estado con retroiluminación</t>
  </si>
  <si>
    <t>miércoles 2 de julio</t>
  </si>
  <si>
    <t>21-13242-73436</t>
  </si>
  <si>
    <t>390507477441</t>
  </si>
  <si>
    <t>Apple iPad Mini 4 Gris Espacial 128 GB Desbloqueado - Buen Estado con Retroiluminación/Levantamiento</t>
  </si>
  <si>
    <t>11-13256-11063</t>
  </si>
  <si>
    <t>390507333071</t>
  </si>
  <si>
    <t>Apple iPad Mini 4 Gris Espacial 128 GB Desbloqueado - Buen Estado con Manchas Blancas/Tono Amarillo</t>
  </si>
  <si>
    <t xml:space="preserve"> miércoles 2 de julio</t>
  </si>
  <si>
    <t>05-13265-02207</t>
  </si>
  <si>
    <t>390508740931</t>
  </si>
  <si>
    <t>Apple iPad 5 dorado de 128 GB con WiFi: buen estado, con una pequeña mancha blanca</t>
  </si>
  <si>
    <t>COMPRAS LOCALES</t>
  </si>
  <si>
    <t>PRODUCTO</t>
  </si>
  <si>
    <t>1 de julio de 2025 a las 12:16 p. m.</t>
  </si>
  <si>
    <t>02-13280-74259</t>
  </si>
  <si>
    <t>390605256128</t>
  </si>
  <si>
    <t>2 de julio de 2025 a las 20:04</t>
  </si>
  <si>
    <t>15-13268-87404</t>
  </si>
  <si>
    <t>UPS</t>
  </si>
  <si>
    <t>1ZX1772B0329504894</t>
  </si>
  <si>
    <t>pointlomasd</t>
  </si>
  <si>
    <t>iPad Pro de Apple de 10,5" y 512 GB, solo WiFi, gris espacial MPGH2LL/A</t>
  </si>
  <si>
    <t>3 de julio de 2025 a las 10:00 a. m.</t>
  </si>
  <si>
    <t>16-13269-77632</t>
  </si>
  <si>
    <t>1Z1838F50300701101</t>
  </si>
  <si>
    <t>surplusspectra</t>
  </si>
  <si>
    <t>Ordenador portátil Dell Latitude 3390 2 en 1 i5-8350U, 1,7 GHz, 8 GB, 128 GB SSD, Windows 11, táctil</t>
  </si>
  <si>
    <t>5 de julio de 2025 a las 11:03 a. m.</t>
  </si>
  <si>
    <t>15-13278-21311</t>
  </si>
  <si>
    <t>9200190380948202266072</t>
  </si>
  <si>
    <t>beibao_chargers</t>
  </si>
  <si>
    <t>Wholesale Bulk USB Charger Cable 3Ft 6Ft Lot For Apple iPhone 14/13/12/11 Pro/XR</t>
  </si>
  <si>
    <t>5 de julio de 2025 a las 17:05</t>
  </si>
  <si>
    <t>20-13272-71043</t>
  </si>
  <si>
    <t>390722164596</t>
  </si>
  <si>
    <t>itsworthmore</t>
  </si>
  <si>
    <t>Apple iPad 9 Space Gray 64GB Unlocked - No Touch ID</t>
  </si>
  <si>
    <t>5 de julio de 2025 a las 19:42</t>
  </si>
  <si>
    <t>14-13281-00169</t>
  </si>
  <si>
    <t>9400108106244027815185</t>
  </si>
  <si>
    <t>phileral</t>
  </si>
  <si>
    <t>Reloj Guess para mujer en tono plateado con bisel acentuado con cristales y batería nueva</t>
  </si>
  <si>
    <t>6 de julio de 2025 a las 15:08</t>
  </si>
  <si>
    <t>08-13291-81677</t>
  </si>
  <si>
    <t>9400108106244032954237</t>
  </si>
  <si>
    <t>time2envy</t>
  </si>
  <si>
    <t>Reloj Pulsar para hombre con esfera dorada y acero inoxidable PS9218</t>
  </si>
  <si>
    <t>6 de julio de 2025 a las 15:11</t>
  </si>
  <si>
    <t>12-13286-91157</t>
  </si>
  <si>
    <t>Reloj Caravelle para mujer, esfera en oro rosa, acero inoxidable en oro rosa 44L125</t>
  </si>
  <si>
    <t>6 de julio de 2025 a las 15:29</t>
  </si>
  <si>
    <t>23-13272-29957</t>
  </si>
  <si>
    <t>1ZC9529D0332631719</t>
  </si>
  <si>
    <t>omahablue</t>
  </si>
  <si>
    <t>Apple Mac Mini A1347 (2014) i5-4278U 2,60 GHz, 8 GB de RAM, 256 GB de disco duro (Grado C)</t>
  </si>
  <si>
    <t>Jul 6, 2025 at 6:56 PM</t>
  </si>
  <si>
    <t>11-13288-76085</t>
  </si>
  <si>
    <t>9400108106244037671283</t>
  </si>
  <si>
    <t>timewizardwatches</t>
  </si>
  <si>
    <t>Invicta Angel Women's Watch Gold Tone White Band 30mm - New Battery</t>
  </si>
  <si>
    <t>Jul 7, 2025 at 12:13 PM</t>
  </si>
  <si>
    <t>23-13276-42896</t>
  </si>
  <si>
    <t>9400108106244036799797</t>
  </si>
  <si>
    <t>josephwolf</t>
  </si>
  <si>
    <t>Kenneth Cole Women's Watch Gold Tone Crystal Bezel White Leather Sz7.2" KC2559</t>
  </si>
  <si>
    <t>7 de julio de 2025 a las 12:27 p. m.</t>
  </si>
  <si>
    <t>20-13280-43776</t>
  </si>
  <si>
    <t>Invicta Specialty Collection 16326 Women's Watch w/ Heart Face 6.5" Stainless</t>
  </si>
  <si>
    <t>7 de julio de 2025 a las 15:03</t>
  </si>
  <si>
    <t>12-13291-78857</t>
  </si>
  <si>
    <t>9400108106245035339595</t>
  </si>
  <si>
    <t>usdav_wiibo</t>
  </si>
  <si>
    <t>Samsung Galaxy Watch 4</t>
  </si>
  <si>
    <t>8 de julio de 2025 a las 10:32 a. m.</t>
  </si>
  <si>
    <t>19-13285-64243</t>
  </si>
  <si>
    <t>390835545116</t>
  </si>
  <si>
    <t>merresale</t>
  </si>
  <si>
    <t>Apple iPad Pro 10.5" A1709 64 GB Plata v.17.7.8 MQF02LL/A Wi-Fi Desbloqueado SB094*</t>
  </si>
  <si>
    <t>10 de julio de 2025 a las 16:14</t>
  </si>
  <si>
    <t>20-13293-53323</t>
  </si>
  <si>
    <t>390922571631</t>
  </si>
  <si>
    <t>Samsung Galaxy Tab S2 9.7 32 GB Blanco WiFi - Buen estado</t>
  </si>
  <si>
    <t>10 de julio de 2025 a las 16:24</t>
  </si>
  <si>
    <t>26-13285-60163</t>
  </si>
  <si>
    <t>390925303090</t>
  </si>
  <si>
    <t>Apple iPad 6 Gris Espacial 128 GB WiFi - Buen Estado con Pantalla Levantada/Desportillada</t>
  </si>
  <si>
    <t>10 de julio de 2025 a las 16:49</t>
  </si>
  <si>
    <t>07-13311-02449</t>
  </si>
  <si>
    <t>390925554796</t>
  </si>
  <si>
    <t>Apple iPad Pro 10.5 Space Gray 256GB Unlocked -Good w Backlight Bleed/Bent Bezel</t>
  </si>
  <si>
    <t>15 de julio de 2025 a las 8:07 a. m.</t>
  </si>
  <si>
    <t>10-13324-43347</t>
  </si>
  <si>
    <t>391061385610</t>
  </si>
  <si>
    <t>Apple iPad Air (3rd Gen.) Silver 256GB Unlocked - Good Cond w/ Backlight Bleed</t>
  </si>
  <si>
    <t>15 de julio de 2025 a las 9:05 a. m.</t>
  </si>
  <si>
    <t>27-13302-36143</t>
  </si>
  <si>
    <t>1ZC9529D0331376140</t>
  </si>
  <si>
    <t>Apple Mac Mini A1347 (2014) i5-4260U 1.40GHz 4GB RAM 512GB HDD (Grade "B")</t>
  </si>
  <si>
    <t>17 de julio de 2025 a las 18:29</t>
  </si>
  <si>
    <t>08-13337-50642</t>
  </si>
  <si>
    <t>391171297095</t>
  </si>
  <si>
    <t>Apple iPad Pro 10.5 Plata 256 GB WiFi - Buen estado con Touch ID defectuoso y bisel doblado</t>
  </si>
  <si>
    <t>17 de julio de 2025 a las 18:31</t>
  </si>
  <si>
    <t>22-13319-12871</t>
  </si>
  <si>
    <t>391174931480</t>
  </si>
  <si>
    <t>Microsoft Surface Pro 4 12" Plata i5-6300U 2.40GHz 4GB 128GB Bueno - LEER</t>
  </si>
  <si>
    <t>22 de julio de 2025 a las 8:51 a. m.</t>
  </si>
  <si>
    <t>24-13349-07093</t>
  </si>
  <si>
    <t>391304140584</t>
  </si>
  <si>
    <t>Apple iPad Pro 10.5 Gris Espacial 64 GB WiFi - Buen Estado con Fuga de Retroiluminación</t>
  </si>
  <si>
    <t>24 de julio de 2025 a las 17:08</t>
  </si>
  <si>
    <t>18-13352-38421</t>
  </si>
  <si>
    <t>391414561771</t>
  </si>
  <si>
    <t>Apple iPad Air (3.ª generación) Gris espacial de 256 GB desbloqueado - Funciona con retroiluminación</t>
  </si>
  <si>
    <t>27 de julio de 2025 a las 8:58 a. m.</t>
  </si>
  <si>
    <t>24-13368-49458</t>
  </si>
  <si>
    <t>9434608106244089601964</t>
  </si>
  <si>
    <t>kylethomas</t>
  </si>
  <si>
    <t>Apple iPad (4th Generation) A1458 64 GB, Wi-Fi, 9.7 in - Black</t>
  </si>
  <si>
    <t>27 de julio de 2025 a las 12:24 p. m.</t>
  </si>
  <si>
    <t>05-13380-37246</t>
  </si>
  <si>
    <t>1Z0R2B760329458463</t>
  </si>
  <si>
    <t>wikiwoo</t>
  </si>
  <si>
    <t>Apple iPad Pro 10.5in - 64gb 256gb Wifi or Cellular - LCD WHITE SPOTS</t>
  </si>
  <si>
    <t>30 de julio de 2025 a las 11:31 a. m.</t>
  </si>
  <si>
    <t>10-13386-73660</t>
  </si>
  <si>
    <t>391618208660</t>
  </si>
  <si>
    <t>Apple iPad 5 Space Gray 32GB Unlocked - Good Condition w/ Backlight Bleed/Hue</t>
  </si>
  <si>
    <t>31 de julio de 2025 a las 8:31 a. m.</t>
  </si>
  <si>
    <t>12-13387-78796</t>
  </si>
  <si>
    <t>391632506990</t>
  </si>
  <si>
    <t>Apple iPad 5 Plata 128 GB Desbloqueado - Buen Estado con Píxeles Muertos</t>
  </si>
  <si>
    <t>1 de agosto de 2025 a las 11:30 a. m.</t>
  </si>
  <si>
    <t>27-13372-79299</t>
  </si>
  <si>
    <t>1Z0V084F0304488259</t>
  </si>
  <si>
    <t>evalueexpo</t>
  </si>
  <si>
    <t>Apple iPad Pro 10.5 64 GB WiFi Gris Espacial A1701 Usado en Mal Estado</t>
  </si>
  <si>
    <t>2 de agosto de 2025 a las 8:14 a. m.</t>
  </si>
  <si>
    <t>12-13395-86048</t>
  </si>
  <si>
    <t>9434608106244114586150</t>
  </si>
  <si>
    <t>the-accumulators</t>
  </si>
  <si>
    <t>Apple iPad Pro de 10,5 pulgadas (1.ª generación), 64 GB, Wi-Fi + desbloqueado - Gris espacial</t>
  </si>
  <si>
    <t>4 de agosto de 2025 a las 11:17 a. m.</t>
  </si>
  <si>
    <t>19-13395-86943</t>
  </si>
  <si>
    <t>391777539912</t>
  </si>
  <si>
    <t>Apple iPad 7 gris espacial de 32 GB desbloqueado - Buen estado con retroiluminación borrosa/matiz</t>
  </si>
  <si>
    <t>5 de agosto de 2025 a las 11:35 a. m.</t>
  </si>
  <si>
    <t>13-13408-68332</t>
  </si>
  <si>
    <t>1Z0R2B760320392988</t>
  </si>
  <si>
    <t>Apple iPad Pro de 12,9 pulgadas (2.ª generación), 512 GB, Wi-Fi, dorado, pantalla LCD con manchas blancas/rotaduras</t>
  </si>
  <si>
    <t>5 de agosto de 2025 a las 15:24</t>
  </si>
  <si>
    <t>26-13391-87175</t>
  </si>
  <si>
    <t>1ZAR44790311332567</t>
  </si>
  <si>
    <t>preownedtech</t>
  </si>
  <si>
    <t>iPad Pro de Apple (1.ª generación, 12,9", 32 GB, color plata, Wi-Fi, modelo ML0G2LL/A, 2015)</t>
  </si>
  <si>
    <t>6 de agosto de 2025 a las 15:13</t>
  </si>
  <si>
    <t>02-13428-52720</t>
  </si>
  <si>
    <t>1ZAR44790304495735</t>
  </si>
  <si>
    <t>iPad Air de 3.ª generación de Apple, 10,5", 64 GB, color plata, Wi-Fi, MUUK2VC/A, modelo 2019</t>
  </si>
  <si>
    <t>9 de agosto de 2025 a las 4:22 a. m.</t>
  </si>
  <si>
    <t>06-13433-04773</t>
  </si>
  <si>
    <t>9400108106244137493549</t>
  </si>
  <si>
    <t>Reloj Beverly Hills Polo Club para hombre en tonos dorados y plateados con fecha y batería nueva.</t>
  </si>
  <si>
    <t>11 de agosto de 2025 a las 13:45</t>
  </si>
  <si>
    <t>04-13445-97831</t>
  </si>
  <si>
    <t>(420)33166(92)61290360845420043529</t>
  </si>
  <si>
    <t>smartresale</t>
  </si>
  <si>
    <t>Apple Macbook Pro A1990 2019 i9 2.3GHZ 16GB 512GB SSD -Leer descripción</t>
  </si>
  <si>
    <t>11 de agosto de 2025 a las 15:00</t>
  </si>
  <si>
    <t>17-13428-75251</t>
  </si>
  <si>
    <t>1ZB797G50309046568</t>
  </si>
  <si>
    <t>Lote de 5 teclados inalámbricos Bluetooth Apple plateados A1314</t>
  </si>
  <si>
    <t>12 de agosto de 2025 a las 7:43 a. m.</t>
  </si>
  <si>
    <t>10-13440-69295</t>
  </si>
  <si>
    <t>9261290360845420044076</t>
  </si>
  <si>
    <t>Apple Macbook Pro A1989 2019 I7 2.8Ghz 16GB 512GB SSD - Leer descripción</t>
  </si>
  <si>
    <t>12 de agosto de 2025 a las 11:34 a. m.</t>
  </si>
  <si>
    <t>23-13424-35120</t>
  </si>
  <si>
    <t>9434608106245162823235</t>
  </si>
  <si>
    <t>Reloj Caravelle New York para mujer, acero inoxidable dorado con esfera color champán, 44L127</t>
  </si>
  <si>
    <t>12 de agosto de 2025 a las 15:19</t>
  </si>
  <si>
    <t>10-13442-51834</t>
  </si>
  <si>
    <t>(420)33166(92)61290360845720067508</t>
  </si>
  <si>
    <t>APPLE MACBOOK PRO A2141 2019 i7 2.6GHz 16GB 512GB Grado F- LEER DESCRIPCIÓN</t>
  </si>
  <si>
    <t>13 de agosto de 2025 a las 00:37</t>
  </si>
  <si>
    <t>14-13438-63177</t>
  </si>
  <si>
    <t>(420)331956472(94)00108106244156948648</t>
  </si>
  <si>
    <t>simer_camer</t>
  </si>
  <si>
    <t>Chaqueta cortavientos de Nickelodeon Rugrats, jersey, Chuckie y Tommy. ¡Nuevo! Talla L</t>
  </si>
  <si>
    <t>18-13433-29587</t>
  </si>
  <si>
    <t>Chaqueta cortavientos con cremallera Nickelodeon Rugrats talla XL ¡Nuevo!</t>
  </si>
  <si>
    <t>13 de agosto de 2025 a las 11:03 a. m.</t>
  </si>
  <si>
    <t>04-13454-06553</t>
  </si>
  <si>
    <t>9400108106245166012619</t>
  </si>
  <si>
    <t>niklin0823</t>
  </si>
  <si>
    <t>Camisa de hombre Creepy The Clown talla S/M (34-36)</t>
  </si>
  <si>
    <t>13 de agosto de 2025 a las 11:42 a. m.</t>
  </si>
  <si>
    <t>07-13450-34663</t>
  </si>
  <si>
    <t>9400108106244155501950</t>
  </si>
  <si>
    <t>silvermapleapparel</t>
  </si>
  <si>
    <t>Sudadera con capucha Fortnite para niño, disfraz de lobo temible, chaqueta con cremallera completa y mascarilla</t>
  </si>
  <si>
    <t>14 de agosto de 2025 a las 23:48</t>
  </si>
  <si>
    <t>25-13432-20810</t>
  </si>
  <si>
    <t>1Z434182YN19593681</t>
  </si>
  <si>
    <t>bullseye_deals</t>
  </si>
  <si>
    <t>Chaqueta cortavientos para hombre - Uso original</t>
  </si>
  <si>
    <t>15 de agosto de 2025 a las 7:01 a. m.</t>
  </si>
  <si>
    <t>10-13453-18844</t>
  </si>
  <si>
    <t>9434608106245181174325</t>
  </si>
  <si>
    <t>jmct6679c2</t>
  </si>
  <si>
    <t>Chaqueta vaquera de Bob Esponja de Nickelodeon, solo para miembros, para hombre, talla L (nueva con etiquetas)</t>
  </si>
  <si>
    <t>15 de agosto de 2025 a las 7:40 a. m.</t>
  </si>
  <si>
    <t>27-13430-75932</t>
  </si>
  <si>
    <t>392174101080</t>
  </si>
  <si>
    <t>Apple iPad 9 gris espacial de 64 GB desbloqueado - Buen estado con punto azul y bisel doblado</t>
  </si>
  <si>
    <t>15 de agosto de 2025 a las 9:20 a. m.</t>
  </si>
  <si>
    <t>02-13464-84209</t>
  </si>
  <si>
    <t>9400108106244160068288</t>
  </si>
  <si>
    <t>thriftfindsvintage</t>
  </si>
  <si>
    <t>Nickelodeon Rugrats Reptar Dinosaurio Blanco para Hombre Talla Mediana</t>
  </si>
  <si>
    <t>15 de agosto de 2025 a las 9:23 a. m.</t>
  </si>
  <si>
    <t>06-13459-46505</t>
  </si>
  <si>
    <t>9400108106244159870335</t>
  </si>
  <si>
    <t>goodealshop</t>
  </si>
  <si>
    <t>Chaqueta cortavientos Rug Rats para hombre, talla mediana, solo para miembros, de Nickelodeon.</t>
  </si>
  <si>
    <t>15 de agosto de 2025 a las 11:56 a. m.</t>
  </si>
  <si>
    <t>23-13436-97149</t>
  </si>
  <si>
    <t>9405508106244168091564</t>
  </si>
  <si>
    <t>guttermaxx</t>
  </si>
  <si>
    <t>CHAQUETA CORTAVIENTOS CON CAPUCHA Y CREMALLERA DE RUGRATS, SOLO PARA MIEMBROS MEDIANOS ADULTOS</t>
  </si>
  <si>
    <t>15 de agosto de 2025 a las 11:54 a. m.</t>
  </si>
  <si>
    <t>13-13450-61879</t>
  </si>
  <si>
    <t>(420)331956472(94)34608106244162331450</t>
  </si>
  <si>
    <t>gadgetpirates</t>
  </si>
  <si>
    <t>iPad Pro de 10,5 pulgadas A1709 de Apple, 512 GB, color plata, desbloqueado</t>
  </si>
  <si>
    <t>15 de agosto de 2025 a las 11:58 a. m.</t>
  </si>
  <si>
    <t>23-13436-97721</t>
  </si>
  <si>
    <t>(420)331956472(94)34608106244162331351</t>
  </si>
  <si>
    <t>Apple iPad Pro 10.5 pulgadas A1701 MPGJ2LL/A 512 GB Plata Solo WIFI</t>
  </si>
  <si>
    <t>15 de agosto de 2025 a las 14:52</t>
  </si>
  <si>
    <t>04-13463-08269</t>
  </si>
  <si>
    <t>1ZAR44790338959957</t>
  </si>
  <si>
    <t>Lenovo IdeaPad Flex 5 14" i3-1215U 8 GB RAM 256 GB NVMe 82R7003WUS Windows 11 H</t>
  </si>
  <si>
    <t>15 de agosto de 2025 a las 18:13</t>
  </si>
  <si>
    <t>NO</t>
  </si>
  <si>
    <t>16-13447-40638</t>
  </si>
  <si>
    <t>9434608106244162019150</t>
  </si>
  <si>
    <t>garmentgallery</t>
  </si>
  <si>
    <t>Chaqueta con capucha y cremallera de Nickelodeon Hey Arnold x Bob Esponja, solo para miembros, talla M, defectos</t>
  </si>
  <si>
    <t>17 de agosto de 2025 a las 8:09 a. m.</t>
  </si>
  <si>
    <t>23-13443-31317</t>
  </si>
  <si>
    <t>(420)331956472(94)00108106245190817808</t>
  </si>
  <si>
    <t>fm_treasures</t>
  </si>
  <si>
    <t>Camiseta de dibujos animados de Nickelodeon de los 90 / Rugrats / Hey Arnold / Gato y perro / Talla: L</t>
  </si>
  <si>
    <t>17 de agosto de 2025 a las 16:30</t>
  </si>
  <si>
    <t>17-13453-19533</t>
  </si>
  <si>
    <t>1Z8573A70334408059</t>
  </si>
  <si>
    <t>regencytechnologies</t>
  </si>
  <si>
    <t>APPLE IPAD PRO DE 1.ª GENERACIÓN | MLMN2LL/A | 9,7" | 32 GB | WI-FI | GRIS ESPACIAL</t>
  </si>
  <si>
    <t>17 de agosto de 2025 a las 17:37</t>
  </si>
  <si>
    <t>24-13458-77635</t>
  </si>
  <si>
    <t>9434608106244173028882</t>
  </si>
  <si>
    <t>Reloj de pared Adidas Santiago Grande con esfera azul y correa de poliuretano azul ADH2801SG</t>
  </si>
  <si>
    <t>17 de agosto de 2025 a las 19:01</t>
  </si>
  <si>
    <t>11-13461-83050</t>
  </si>
  <si>
    <t>9434608106244167929935</t>
  </si>
  <si>
    <t>jaxson101</t>
  </si>
  <si>
    <t>Chaqueta bomber Blizzard Diablo IV para hombre, talla XL, color negro</t>
  </si>
  <si>
    <t>17 de agosto de 2025 a las 22:42</t>
  </si>
  <si>
    <t>16-13455-63335</t>
  </si>
  <si>
    <t>392221588380</t>
  </si>
  <si>
    <t>Apple iPad 6 Gris Espacial 32 GB Desbloqueado - Pantalla Rota</t>
  </si>
  <si>
    <t>18 de agosto de 2025 a las 10:59 a. m.</t>
  </si>
  <si>
    <t>19-13454-25691</t>
  </si>
  <si>
    <t>9400108106244169488353</t>
  </si>
  <si>
    <t>wnbagals</t>
  </si>
  <si>
    <t>Chaqueta cortavientos grande de House of Dragon de HBO Game of Thrones, solo para miembros, NUEVA</t>
  </si>
  <si>
    <t>18 de agosto de 2025 a las 11:16 a. m.</t>
  </si>
  <si>
    <t>02-13477-38422</t>
  </si>
  <si>
    <t>9400108106245182083419</t>
  </si>
  <si>
    <t>cathyann5266su1</t>
  </si>
  <si>
    <t>Camiseta roja de Nickelodeon Hey Arnold. Talla M</t>
  </si>
  <si>
    <t>19 de agosto de 2025 a las 6:55 a. m.</t>
  </si>
  <si>
    <t>08-13472-22008</t>
  </si>
  <si>
    <t>9434608106244179006235</t>
  </si>
  <si>
    <t>mpandjb</t>
  </si>
  <si>
    <t>Colección especial Invicta Trinite, modelo 11429</t>
  </si>
  <si>
    <t>19 de agosto de 2025 a las 10:42 a. m.</t>
  </si>
  <si>
    <t>26-13449-15071</t>
  </si>
  <si>
    <t>10 WATCHES</t>
  </si>
  <si>
    <t>19 de agosto de 2025 a las 12:33 p. m.</t>
  </si>
  <si>
    <t>11-13469-79461</t>
  </si>
  <si>
    <t>9436211206217855766739</t>
  </si>
  <si>
    <t>Apple iPad Air 2 64 GB Gris Espacial MGKL2LL/A Solo WiFi</t>
  </si>
  <si>
    <t>07-13475-37616</t>
  </si>
  <si>
    <t>Apple iPad Air 2 32 GB Gris Espacial MNV22LL/A Solo WiFi</t>
  </si>
  <si>
    <t>19 de agosto de 2025 a las 19:54</t>
  </si>
  <si>
    <t>18-13461-85560</t>
  </si>
  <si>
    <t>1ZB797G50322853143</t>
  </si>
  <si>
    <t>19 de agosto de 2025 a las 20:06</t>
  </si>
  <si>
    <t>08-13475-10957</t>
  </si>
  <si>
    <t>1ZAR44790307421442</t>
  </si>
  <si>
    <t>Chromebook Acer Spin 311 de 11,6" con procesador AMD A6-9220C, 4 GB de RAM, 32 GB de memoria eMMC, color negro,</t>
  </si>
  <si>
    <t>20 de agosto de 2025 a las 9:31 a. m.</t>
  </si>
  <si>
    <t>12-13472-21000</t>
  </si>
  <si>
    <t>1ZW879W60342901069</t>
  </si>
  <si>
    <t>itreplay</t>
  </si>
  <si>
    <t>Teclado óptico analógico para deportes electrónicos Razer Huntsman V3 Pro Mini (60%)</t>
  </si>
  <si>
    <t>20 de agosto de 2025 a las 12:06 p. m.</t>
  </si>
  <si>
    <t>06-13480-96340</t>
  </si>
  <si>
    <t>(420)331956472(94)00108106245199660542</t>
  </si>
  <si>
    <t>backintimewatches</t>
  </si>
  <si>
    <t>4 WATCHES</t>
  </si>
  <si>
    <t>20 de agosto de 2025 a las 19:50</t>
  </si>
  <si>
    <t>24-13472-66493</t>
  </si>
  <si>
    <t>1ZAR44790319205921</t>
  </si>
  <si>
    <t>HYUNDAI HyBook Plus 14" i5-1035G1 16 GB RAM 1 TB NVMe CB10S02GY Win 11 H</t>
  </si>
  <si>
    <t>21 de agosto de 2025 a las 00:14</t>
  </si>
  <si>
    <t>16-13469-15798</t>
  </si>
  <si>
    <t>9434608106245195756050</t>
  </si>
  <si>
    <t>verona_trade_house</t>
  </si>
  <si>
    <t>Chaqueta cortavientos exclusiva para miembros de Rick y Morty Focus Science MW019306-TAN Talla L</t>
  </si>
  <si>
    <t>21 de agosto de 2025 a las 10:01 a. m.</t>
  </si>
  <si>
    <t>18-13468-27477</t>
  </si>
  <si>
    <t>1Z14V535YW11509095</t>
  </si>
  <si>
    <t>computerbegone</t>
  </si>
  <si>
    <t>Microsoft Surface Laptop 4 13.5 2K TÁCTIL 2.2GZ Ryzen 5 4680U 8GB 256GB ENVÍO GRATIS</t>
  </si>
  <si>
    <t>21 de agosto de 2025 a las 11:32 a. m.</t>
  </si>
  <si>
    <t>9434608106244181120967</t>
  </si>
  <si>
    <t>sorinsolaris</t>
  </si>
  <si>
    <t>13 CLOTHES</t>
  </si>
  <si>
    <t>21 de agosto de 2025 a las 12:30 p. m.</t>
  </si>
  <si>
    <t>27-13456-89740</t>
  </si>
  <si>
    <t>1ZX8767V0315461478</t>
  </si>
  <si>
    <t>epc-texas</t>
  </si>
  <si>
    <t>PORTÁTIL MICROSOFT SURFACE STUDIO 1964 I7-11370H 1TB SSD 32GB RTX 3050 TI SIN SO</t>
  </si>
  <si>
    <t>21 de agosto de 2025 a las 14:29</t>
  </si>
  <si>
    <t>20-13466-53148</t>
  </si>
  <si>
    <t>1ZA253350324024177</t>
  </si>
  <si>
    <t>soonersoft</t>
  </si>
  <si>
    <t>Microsoft Surface Pro 4 Core i5 12.3" 4 GB/128 GB Plata Precio Rebajado VW2963</t>
  </si>
  <si>
    <t>21 de agosto de 2025 a las 17:34</t>
  </si>
  <si>
    <t>18-13469-79433</t>
  </si>
  <si>
    <t>9434608106244180615082</t>
  </si>
  <si>
    <t>mil_243</t>
  </si>
  <si>
    <t>Tableta Microsoft Surface Pro 4 1724 Core i7-6650U de 12,3 pulgadas, resolución 2736 x 1824, 8 GB/256 GB</t>
  </si>
  <si>
    <t>22 de agosto de 2025 a las 15:54</t>
  </si>
  <si>
    <t>07-13488-42240</t>
  </si>
  <si>
    <t>1ZE3656G0334483082</t>
  </si>
  <si>
    <t>Teclado para juegos con cable SteelSeries Apex 3 TKL para PC compacto con retroiluminación RGB</t>
  </si>
  <si>
    <t>2026-08-25</t>
  </si>
  <si>
    <t>21-15060-59443</t>
  </si>
  <si>
    <t/>
  </si>
  <si>
    <t>eBay</t>
  </si>
  <si>
    <t>Apple iPad Pro 10.5” - 256GB - Wi-Fi</t>
  </si>
  <si>
    <t>2026-08-26</t>
  </si>
  <si>
    <t>24-15073-42529</t>
  </si>
  <si>
    <t>FEDEX</t>
  </si>
  <si>
    <t>383405607465</t>
  </si>
  <si>
    <t>Apple iPad Pro 1st Gen A1701 256GB WiFi 10.5" - SPACE GRAY *READ DESC*</t>
  </si>
  <si>
    <t>2026-08-28</t>
  </si>
  <si>
    <t>16-15082-32961</t>
  </si>
  <si>
    <t>383459069364</t>
  </si>
  <si>
    <t>Apple iPad Pro 10.5 Space Gray 256GB WiFi - Good w/ Backlight Bleed/White Spots</t>
  </si>
  <si>
    <t xml:space="preserve"> </t>
  </si>
  <si>
    <t>1 de septiembre de 2025 a las 19:00</t>
  </si>
  <si>
    <t>06-13531-54924</t>
  </si>
  <si>
    <t>9400108106244216298225</t>
  </si>
  <si>
    <t>5 WATCHES</t>
  </si>
  <si>
    <t>2 de septiembre de 2025 a las 8:58 a. m.</t>
  </si>
  <si>
    <t>06-13533-85201</t>
  </si>
  <si>
    <t>392812242875</t>
  </si>
  <si>
    <t>thriftonic</t>
  </si>
  <si>
    <t>Portátil Microsoft Surface 7 de 12,3" - Core i5-1035G4 - 8 GB de RAM - SSD de 128 GB</t>
  </si>
  <si>
    <t>2 de septiembre de 2025 a las 15:56</t>
  </si>
  <si>
    <t>26-13508-40532</t>
  </si>
  <si>
    <t>1ZAR44790339874573</t>
  </si>
  <si>
    <t>Tableta Samsung Galaxy Tab A de 10.1" y 16 GB, color blanco, modelo SM-T580NZWAXAR (2016)</t>
  </si>
  <si>
    <t>3 de septiembre de 2025 a las 19:00</t>
  </si>
  <si>
    <t>05-13542-11396</t>
  </si>
  <si>
    <t>9261290360845720072786</t>
  </si>
  <si>
    <t>APPLE MACBOOK PRO A1706 2017 i7 3.5GHz 16GB 512GB - LEER DESCRIPCIÓN</t>
  </si>
  <si>
    <t>5 de septiembre de 2025 a las 8:03 a. m.</t>
  </si>
  <si>
    <t>14-13535-55668</t>
  </si>
  <si>
    <t>(420)33195(94)36211206217842293088</t>
  </si>
  <si>
    <t>Microsoft Corporation Surface 3 Core i7 1065g7 1,30 GHz 16 GB 256 GB Win11Pro</t>
  </si>
  <si>
    <t>4 de septiembre de 2026 a las 14:04</t>
  </si>
  <si>
    <t>26-15095-19840</t>
  </si>
  <si>
    <t>383588184826</t>
  </si>
  <si>
    <t>Apple iPad Air (3rd Gen.) Space Gray 256GB WiFi - Good w/ Backlight Bleed</t>
  </si>
  <si>
    <t>4 de septiembre de 2026 a las 14:12</t>
  </si>
  <si>
    <t>20-15106-11503</t>
  </si>
  <si>
    <t>383588104255</t>
  </si>
  <si>
    <t>Apple iPad Pro 10.5 Space Gray 256GB WiFi - Good w/ Battery Issue/White Spots</t>
  </si>
  <si>
    <t>7 de septiembre de 2026 a las 07:00</t>
  </si>
  <si>
    <t>22-15116-16018</t>
  </si>
  <si>
    <t>1Z0R2B760325209042</t>
  </si>
  <si>
    <t>EBAY</t>
  </si>
  <si>
    <t>Apple iPad Pro de 10,5 pulgadas 256 GB Wi-Fi Manchas blancas en la pantalla LCD</t>
  </si>
  <si>
    <t>10 de septiembre de 2026 a las 10:30</t>
  </si>
  <si>
    <t>23-15114-36516</t>
  </si>
  <si>
    <t>9400108205497721934380</t>
  </si>
  <si>
    <t>Apple iPad 7ma Generación 10.2 pulgadas 32GB Wi-Fi Space Gray</t>
  </si>
  <si>
    <t>10 de septiembre de 2026 a las 17:54</t>
  </si>
  <si>
    <t>17-15138-14588</t>
  </si>
  <si>
    <t>1Z0R2B760306333836</t>
  </si>
  <si>
    <t>Apple iPad Pro 10.5in - Choose Specs - Wi-Fi or Cellular  -  LCD WHITE SPOTS[Wifi Only,Space gray,256GB]</t>
  </si>
  <si>
    <t>10 de septiembre de 2026 a las 17:55</t>
  </si>
  <si>
    <t>18-15136-37713</t>
  </si>
  <si>
    <t>1Z0R2B760321718160</t>
  </si>
  <si>
    <t>Apple iPad Pro 10.5in - Choose Specs - Wi-Fi or Cellular  -  LCD WHITE SPOTS[Wifi Only,Silver,256GB]</t>
  </si>
  <si>
    <t>15 de septiembre de 2026 a las 00:59</t>
  </si>
  <si>
    <t>25-15141-56007</t>
  </si>
  <si>
    <t>9434608106244558949658</t>
  </si>
  <si>
    <t>Apple iPad Pro 10.5” 256GB WiFi Rose Gold + Apple Pencil 1st Gen A1701</t>
  </si>
  <si>
    <t>15 de septiembre de 2026 a las 11:24</t>
  </si>
  <si>
    <t>26-15141-31231-1</t>
  </si>
  <si>
    <t>1ZY839R70395801448</t>
  </si>
  <si>
    <t>Apple iPad 7 A2200 7,12 32GB 10.2" | Color: Space Gray | Unlocked | Health: 98%</t>
  </si>
  <si>
    <t>15 de septiembre de 2026 a las 11:32</t>
  </si>
  <si>
    <t>LISTO</t>
  </si>
  <si>
    <t>21-15150-22112</t>
  </si>
  <si>
    <t>(420)331722139(94)36208106245579767610</t>
  </si>
  <si>
    <t>Apple iPad Pro 1st Gen. 512GB, Wi-Fi, 10.5 in - Silver</t>
  </si>
  <si>
    <t>16 de septiembre de 2026 a las 00:32</t>
  </si>
  <si>
    <t>05-15183-11042</t>
  </si>
  <si>
    <t>383730102539</t>
  </si>
  <si>
    <t>Apple iPad Air (3rd Gen.) Gold 256GB Unlocked - Good w/ Backlight Bleed</t>
  </si>
  <si>
    <t>16 de septiembre de 2026 a las 12:45</t>
  </si>
  <si>
    <t>19-15158-92636</t>
  </si>
  <si>
    <t>9400108106244561752717</t>
  </si>
  <si>
    <t>Apple iPhone SE 3rd Gen 128GB Black Factory Unlocked 4.7in A13 12MP</t>
  </si>
  <si>
    <t>16 de septiembre de 2026 a las 15:02</t>
  </si>
  <si>
    <t>22-15154-01688</t>
  </si>
  <si>
    <t>383772352970</t>
  </si>
  <si>
    <t>MacBook Pro 13" 2019 | i5-8279U | 16GB RAM | 256GB NVMe | 589 Cycles | READ</t>
  </si>
  <si>
    <t>17 de septiembre de 2026 a las 18:46</t>
  </si>
  <si>
    <t>06-15188-79737-1</t>
  </si>
  <si>
    <t>1ZY839R70396796677</t>
  </si>
  <si>
    <t>Apple iPad 7 A2200 7,12 32GB Tablet 10.2" | Space Gray | Unlocked | Health: 91%</t>
  </si>
  <si>
    <t>18 de septiembre de 2026 a las 07:12</t>
  </si>
  <si>
    <t>26-15141-31231-2</t>
  </si>
  <si>
    <t>Apple iPad 7 A2200 7,12 32GB Tablet 10.2" | Space Gray | Unlocked | Health: 99%</t>
  </si>
  <si>
    <t>18 de septiembre de 2026 a las 10:08</t>
  </si>
  <si>
    <t>21-15162-85891</t>
  </si>
  <si>
    <t>(420)33172(94)34636208192282284302</t>
  </si>
  <si>
    <t>APPLE iPad Air 3rd Gen A2153 Tablet 256GB WIFI Cellular Space Gray SEE NOTES</t>
  </si>
  <si>
    <t>18 de septiembre de 2026 a las 11:02</t>
  </si>
  <si>
    <t>27-15152-66235</t>
  </si>
  <si>
    <t>383769867097</t>
  </si>
  <si>
    <t>Apple iPad Air 3rd Gen 10.5", 256GB, Wi-Fi – Random Color - Fair – Bundle</t>
  </si>
  <si>
    <t>18 de septiembre de 2026 a las 16:37</t>
  </si>
  <si>
    <t>23-15161-07326</t>
  </si>
  <si>
    <t>1ZE7W9520391498799</t>
  </si>
  <si>
    <t>Apple MacBook Pro 16" 2019 Core i7-9750H 32GB 1TB Space Gray A2141 *Screen mark</t>
  </si>
  <si>
    <t>18 de septiembre de 2026 a las 17:16</t>
  </si>
  <si>
    <t>19-15168-53902</t>
  </si>
  <si>
    <t>1ZC9529D0317863739</t>
  </si>
  <si>
    <t>Apple Macbook Pro 13" i7-8559u 16GB 512GB BATTERY ISSUE</t>
  </si>
  <si>
    <t>19 de septiembre de 2026 a las 11:01</t>
  </si>
  <si>
    <t>17-15174-59856</t>
  </si>
  <si>
    <t>383833691742</t>
  </si>
  <si>
    <t>MacBook Pro 16" 2019 | i7-9750H | 16GB RAM | 512GB NVMe | 456 Cycles | READ</t>
  </si>
  <si>
    <t>19 de septiembre de 2026 a las 16:26</t>
  </si>
  <si>
    <t>19-15172-08085</t>
  </si>
  <si>
    <t>1Z0R2B760334443807</t>
  </si>
  <si>
    <t>19 de septiembre de 2026 a las 16:28</t>
  </si>
  <si>
    <t>14-15181-25579</t>
  </si>
  <si>
    <t>383847078355</t>
  </si>
  <si>
    <t>MacBook Pro 16,1 Laptop | i7-9750H | 16 GB RAM | 500 GB NVMe | 274 Cycles | READ</t>
  </si>
  <si>
    <t>19 de septiembre de 2026 a las 21:09</t>
  </si>
  <si>
    <t>16-15178-32110</t>
  </si>
  <si>
    <t>1Z0R2B760324495226</t>
  </si>
  <si>
    <t>20 de septiembre de 2026 a las 01:22</t>
  </si>
  <si>
    <t>11-15187-84746</t>
  </si>
  <si>
    <t>1Z0R2B760333197611</t>
  </si>
  <si>
    <t>21 de septiembre de 2026 a las 10:39</t>
  </si>
  <si>
    <t>11-15193-85571</t>
  </si>
  <si>
    <t>1ZC9529D0324359771</t>
  </si>
  <si>
    <t>Apple Macbook Pro 13" i5-8259u 16GB 512GB BATTERY ISSUE</t>
  </si>
  <si>
    <t>21 de septiembre de 2026 a las 13:36</t>
  </si>
  <si>
    <t>25-15169-10776</t>
  </si>
  <si>
    <t>9400150206217928132260</t>
  </si>
  <si>
    <t>Apple iPad (9th Gen.) A2603 64 GB, Wi-Fi + 4G 10.2" Silver READ DESCRIPTION**</t>
  </si>
  <si>
    <t>21 de septiembre de 2026 a las 14:36</t>
  </si>
  <si>
    <t>15-15187-52743</t>
  </si>
  <si>
    <t>383810188373</t>
  </si>
  <si>
    <t>Apple iPad Pro 1st Gen 256GB WiFi 10.5" - Space Gray</t>
  </si>
  <si>
    <t>22 de septiembre de 2026 a las 09:50</t>
  </si>
  <si>
    <t>10-15199-97814</t>
  </si>
  <si>
    <t>WiFi Only Apple iPad Pro 12.9" 2nd Gen 256GB 17.7.5 Space Gray MP6G2LL/A LTE</t>
  </si>
  <si>
    <t>22 de septiembre de 2026 a las 11:16</t>
  </si>
  <si>
    <t>06-15208-16757</t>
  </si>
  <si>
    <t>1Z14V5340334662831</t>
  </si>
  <si>
    <t>Apple iPad Pro 12.9-inch 2nd Gen. (2017), 256GB, Wi-Fi, Gold, iOS 17 Tablet</t>
  </si>
  <si>
    <t>23 de septiembre de 2026 a las 11:29</t>
  </si>
  <si>
    <t>12-15201-10202</t>
  </si>
  <si>
    <t>Apple Macbook Pro 13" i7-1068NG7 16GB 512GB BATTERY ISSUE</t>
  </si>
  <si>
    <t>23 de septiembre de 2026 a las 11:32</t>
  </si>
  <si>
    <t>16-15193-69719</t>
  </si>
  <si>
    <t>9400150105794102233309</t>
  </si>
  <si>
    <t>Apple iPad (9th Gen.) A2603 64 GB, Wi-Fi + 4G 10.2" Space Gray READ DESCRIPTION</t>
  </si>
  <si>
    <t>27-15173-66600</t>
  </si>
  <si>
    <t>9400150105495103323777</t>
  </si>
  <si>
    <t>Apple iPad (9th Gen.) A2603 64 GB, Wi-Fi + 4G 10.2" Silver READ DESCRIPTION*</t>
  </si>
  <si>
    <t>20 de octubre de 2025 a las 14:56</t>
  </si>
  <si>
    <t>11-13726-05792</t>
  </si>
  <si>
    <t>1Z0R2B760307084256</t>
  </si>
  <si>
    <t>Apple iPad Pro 256 GB, Wi-Fi, 10.5 in - Space Gray - LCD Spots, Cracked Screen</t>
  </si>
  <si>
    <t>24 de octubre de 2025 a las 10:14 a. m.</t>
  </si>
  <si>
    <t>11-13742-05597</t>
  </si>
  <si>
    <t>9436250206217000085530</t>
  </si>
  <si>
    <t>https://www.ebay.com/usr/surplusspectra</t>
  </si>
  <si>
    <t>Apple iPad 6.ª generación 32 GB Gris espacial MR7F2LL/A WiFi activado</t>
  </si>
  <si>
    <t>28 de octubre de 2025 a las 19:49</t>
  </si>
  <si>
    <t>08-13764-73472</t>
  </si>
  <si>
    <t>394766212931</t>
  </si>
  <si>
    <t>Lenovo ThinkBook 13s Gen 2 QHD+ TOUCH i5-1135G7 2.40GHz 16GB 256GB - MARCO DOBLADO</t>
  </si>
  <si>
    <t>29 de octubre de 2025 a las 10:30 a. m.</t>
  </si>
  <si>
    <t>04-13772-84381</t>
  </si>
  <si>
    <t>(420)33166(94)34650105501069492500</t>
  </si>
  <si>
    <t>synergyindustrial</t>
  </si>
  <si>
    <t>Apple iPad de 6.ª generación de 9,7 pulgadas, 32 GB, Wi-Fi + Cellular, modelo A1954 - Gris espacial</t>
  </si>
  <si>
    <t>30 de octubre de 2025 a las 7:42 a. m.</t>
  </si>
  <si>
    <t>23-13750-04386</t>
  </si>
  <si>
    <t>394825873612</t>
  </si>
  <si>
    <t>Apple iPad 6 Plata 128GB WiFi - Buen estado con leves grietas/tono azulado</t>
  </si>
  <si>
    <t>5 de noviembre de 2025 a las 12:57 p. m.</t>
  </si>
  <si>
    <t>08-13797-63725</t>
  </si>
  <si>
    <t>395046799244</t>
  </si>
  <si>
    <t>Apple iPad Pro 10.5 Gris Espacial 64GB Desbloqueado - Problema de batería/Desgaste de pantalla y bisel</t>
  </si>
  <si>
    <t>6 de noviembre de 2025 a las 20:27</t>
  </si>
  <si>
    <t>19-13788-24741</t>
  </si>
  <si>
    <t>1Z0R2B760304013239</t>
  </si>
  <si>
    <t>Apple iPad Pro 1st Gen - 256GB - 12.9" Gold (WiFi) LCD White Spots &amp; Cracked</t>
  </si>
  <si>
    <t>6 de noviembre de 2025 a las 20:54</t>
  </si>
  <si>
    <t>22-13784-06013</t>
  </si>
  <si>
    <t>1Z0R2B760337955008</t>
  </si>
  <si>
    <t>Apple iPad Pro 512GB, Wi-Fi, 10.5 pulgadas - Gris espacial - Manchas en la pantalla LCD, pantalla rota</t>
  </si>
  <si>
    <t>11 de noviembre de 2025 a las 8:36 a. m.</t>
  </si>
  <si>
    <t>18-13808-91264</t>
  </si>
  <si>
    <t>395233262937</t>
  </si>
  <si>
    <t>Apple iPad Air (3.ª generación) Gris espacial 256 GB WiFi - Manchas blancas/ Fuga de luz de fondo</t>
  </si>
  <si>
    <t>20 de noviembre de 2025 a las 14:16</t>
  </si>
  <si>
    <t>09-13862-88370</t>
  </si>
  <si>
    <t>1Z1B92R80328496923</t>
  </si>
  <si>
    <t>MacBook Pro 15 Touch Bar Gris 2017 3.1GHz i7 16GB 1TB SSD Radeon Pro 560 LEER</t>
  </si>
  <si>
    <t>21 de noviembre de 2025 a las 9:21 a. m.</t>
  </si>
  <si>
    <t>17-13854-92340</t>
  </si>
  <si>
    <t>395636841990</t>
  </si>
  <si>
    <t>Apple iPad Pro 10.5 Gris Espacial 256 GB Desbloqueado - Buen Estado con Manchas Blancas</t>
  </si>
  <si>
    <t>26 de noviembre de 2025 a las 11:29</t>
  </si>
  <si>
    <t>06-13893-23674</t>
  </si>
  <si>
    <t>395895008056</t>
  </si>
  <si>
    <t>Apple iPad Pro 12.9 (4.ª generación) Gris espacial 512 GB desbloqueado - Botón de encendido hundido</t>
  </si>
  <si>
    <t>1 de diciembre de 2025 a las 21:37</t>
  </si>
  <si>
    <t>14-13907-59744</t>
  </si>
  <si>
    <t>396097669875</t>
  </si>
  <si>
    <t>cellfeee</t>
  </si>
  <si>
    <t>Samsung Galaxy S22 Ultra 512 GB S908U desbloqueado - Bueno   2 unidades</t>
  </si>
  <si>
    <t>10 de diciembre de 2025 a las 8:42 a. m.</t>
  </si>
  <si>
    <t>19-13941-85603</t>
  </si>
  <si>
    <t>396639188300</t>
  </si>
  <si>
    <t>freegeek_portland</t>
  </si>
  <si>
    <t>Portátil Dell Latitude 5420 | i5-1145G7 | 8 GB de RAM | 512 GB NVMe | LINUX | LEER</t>
  </si>
  <si>
    <t>10 de diciembre de 2025 a las 13:59</t>
  </si>
  <si>
    <t>19-13943-39788</t>
  </si>
  <si>
    <t>9261290360845420063039</t>
  </si>
  <si>
    <t>APPLE MACBOOK PRO A1707 15" i7 2.8GHz 2017 16GB 512GB - Grade D</t>
  </si>
  <si>
    <t>10 de diciembre de 2025 a las 20:43</t>
  </si>
  <si>
    <t>27-13933-64969</t>
  </si>
  <si>
    <t>1Z0R2B760316781164</t>
  </si>
  <si>
    <t>Apple MacBook Pro 13” (2017) - Core i5 2.5 GHz - Elegir especificaciones - Servicio de batería</t>
  </si>
  <si>
    <t>11 de diciembre de 2025 a las 8:15 a. m.</t>
  </si>
  <si>
    <t>08-13961-72310</t>
  </si>
  <si>
    <t>9434608106244572735206</t>
  </si>
  <si>
    <t>thecoolb76</t>
  </si>
  <si>
    <t>Apple MacBook Pro 13 I5-7360U 2.3GHz 8GB 256GB NVMe A1706 2017 LEER BATERÍA</t>
  </si>
  <si>
    <t>3 de enero de 2026 a las 9:40 a. m.</t>
  </si>
  <si>
    <t>20-14037-86287</t>
  </si>
  <si>
    <t>9261290360845420065965</t>
  </si>
  <si>
    <t>Apple iPad PRO 1.ª GEN. 10,5" 256 GB - GRIS ESPACIAL - (WI-FI+GSM/CDMA+LTE)--GRADO D</t>
  </si>
  <si>
    <t>5 de enero de 2026 a las 11:20 a. m.</t>
  </si>
  <si>
    <t>10-14061-20593</t>
  </si>
  <si>
    <t>397481395438</t>
  </si>
  <si>
    <t>Apple iPad Pro 10.5 Gris Espacial 64 GB WiFi - Problema de pérdida de luz de fondo/batería</t>
  </si>
  <si>
    <t>10 de enero de 2026 a las 9:37 a. m.</t>
  </si>
  <si>
    <t>08-14084-86765</t>
  </si>
  <si>
    <t>1Z0R2B760336569802</t>
  </si>
  <si>
    <t>Apple iPad Pro 10.5 pulgadas - Elija especificaciones - Wi-Fi o celular - LCD con puntos blancos</t>
  </si>
  <si>
    <t>11 de enero de 2026 a las 6:31 a. m.</t>
  </si>
  <si>
    <t>24-14080-51374</t>
  </si>
  <si>
    <t>1Z09J94G0305281786</t>
  </si>
  <si>
    <t>paymore_matawan</t>
  </si>
  <si>
    <t>iPad Pro de Apple de 10,5" (512 GB, 17.7.10 MPME2LL/A) desbloqueado y roto con pantalla quemada</t>
  </si>
  <si>
    <t>13 de enero de 2026 a las 7:48 a. m.</t>
  </si>
  <si>
    <t>15-14088-17310</t>
  </si>
  <si>
    <t>(420)331666472(94)00108106245720236888</t>
  </si>
  <si>
    <t>sunflowertattooshop</t>
  </si>
  <si>
    <t>BOLSO DE HOMBRO JUICY COUTURE CHERRY ON TOP FRAMBUESA 🍒 Adorable</t>
  </si>
  <si>
    <t>13 de enero de 2026 a las 13:56</t>
  </si>
  <si>
    <t>10-14096-72452</t>
  </si>
  <si>
    <t>(420)331666472(94)00108106245719158047</t>
  </si>
  <si>
    <t>elite.frames</t>
  </si>
  <si>
    <t>NUEVAS GAFAS MICHAEL KORS MK 3035 MEMPHIS 1108 GOLD HAVANA AUTHENTIC 54-16</t>
  </si>
  <si>
    <t>14 de enero de 2026 a las 19:04</t>
  </si>
  <si>
    <t>13-14098-32651</t>
  </si>
  <si>
    <t>9434608106245724569717</t>
  </si>
  <si>
    <t>fego_7859</t>
  </si>
  <si>
    <t>Apple iPad (8.ª generación) A2270, 32 GB, Wi-Fi, 10,2 pulgadas, color plateado</t>
  </si>
  <si>
    <t>17 de enero de 2026 a las 15:26</t>
  </si>
  <si>
    <t>25-14093-23722</t>
  </si>
  <si>
    <t>1Z0R2B760336777104</t>
  </si>
  <si>
    <t>Apple iPad Pro 10.5 pulgadas - Elija especificaciones - Wi-Fi o celular - LCD con puntos blancos  2 UNIDADES</t>
  </si>
  <si>
    <t>17 de enero de 2026 a las 15:35</t>
  </si>
  <si>
    <t>14-14108-79023</t>
  </si>
  <si>
    <t>1Z14V36V0330931854</t>
  </si>
  <si>
    <t>networkingninjas</t>
  </si>
  <si>
    <t>Apple iPad Air 3.ª generación, 10,5", A2153, 256 GB, Wi-Fi y celular (desbloqueado), *Calificación C* 2 UNIDADES</t>
  </si>
  <si>
    <t>4 de febrero de 2026 a las 15:58</t>
  </si>
  <si>
    <t>16-14186-53331</t>
  </si>
  <si>
    <t>1Z0R2B760305393130</t>
  </si>
  <si>
    <t>Apple iPad Pro 10.5 pulgadas Wi-Fi LCD con puntos blancos 2 UNIDADES</t>
  </si>
  <si>
    <t>11 de febrero de 2026 a las 13:26</t>
  </si>
  <si>
    <t>24-14220-32612</t>
  </si>
  <si>
    <t>1Z0R2B760338483016</t>
  </si>
  <si>
    <t>Apple iPad Pro 10.5 pulgadas WIFI con puntos blancos 2 unidades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</si>
</sst>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h:mm;@"/>
    <numFmt numFmtId="165" formatCode="[$-F800]dddd, mmmm dd, yyyy"/>
    <numFmt numFmtId="166" formatCode="$#,##0.00"/>
    <numFmt numFmtId="167" formatCode="_-[$S/-280A] * #,##0.00_-;-[$S/-280A] * #,##0.00_-;_-[$S/-280A] * &quot;-&quot;??_-;_-@_-"/>
    <numFmt numFmtId="168" formatCode="_-[$$-409]* #,##0.00_ ;_-[$$-409]* -#,##0.00 ;_-[$$-409]* &quot;-&quot;??_ ;_-@_ "/>
    <numFmt numFmtId="169" formatCode="_-[$$-2C0A] * #,##0.00_-;-[$$-2C0A] * #,##0.00_-;_-[$$-2C0A] * &quot;-&quot;??_-;_-@_-"/>
  </numFmts>
  <fonts count="16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rgb="FF111820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u/>
      <color rgb="FF1A0DAB"/>
      <sz val="10"/>
      <name val="Arial"/>
    </font>
    <font>
      <u/>
      <color theme="10"/>
      <family val="2"/>
      <scheme val="minor"/>
      <sz val="11"/>
      <name val="Aptos Narrow"/>
    </font>
    <font>
      <color rgb="FF111820"/>
      <family val="2"/>
      <sz val="11"/>
      <name val="Arial"/>
    </font>
    <font>
      <b/>
      <color theme="0"/>
      <family val="2"/>
      <scheme val="minor"/>
      <sz val="11"/>
      <name val="Aptos Narrow"/>
    </font>
    <font>
      <b/>
      <i/>
      <color theme="1"/>
      <family val="2"/>
      <scheme val="minor"/>
      <sz val="11"/>
      <name val="Aptos Narrow"/>
    </font>
    <font>
      <b/>
      <color theme="9"/>
      <family val="2"/>
      <scheme val="minor"/>
      <sz val="11"/>
      <name val="Aptos Narrow"/>
    </font>
    <font>
      <u/>
      <color rgb="FF3665F3"/>
      <family val="2"/>
      <sz val="11"/>
      <name val="Arial"/>
    </font>
    <font>
      <color theme="9"/>
      <family val="2"/>
      <scheme val="minor"/>
      <sz val="11"/>
      <name val="Aptos Narrow"/>
    </font>
    <font>
      <u/>
      <color rgb="FF111820"/>
      <family val="2"/>
      <sz val="11"/>
      <name val="Arial"/>
    </font>
    <font>
      <u/>
      <color rgb="FF111820"/>
      <family val="2"/>
      <sz val="12"/>
      <name val="Arial"/>
    </font>
    <font>
      <u/>
      <color rgb="FF3665F3"/>
      <family val="2"/>
      <scheme val="minor"/>
      <sz val="11"/>
      <name val="Aptos Narrow"/>
    </font>
    <font>
      <color theme="1"/>
      <family val="2"/>
      <sz val="12"/>
      <name val="Segoe UI"/>
    </font>
  </fonts>
  <fills count="10">
    <fill>
      <patternFill patternType="none"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theme="0" tint="-0.049989318521683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0499893185216834"/>
        <bgColor theme="0" tint="-0.049989318521683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164" fontId="3" fillId="4" borderId="4" xfId="0" applyNumberFormat="1" applyFont="1" applyFill="1" applyBorder="1" applyAlignment="1">
      <alignment horizontal="center" vertical="center"/>
    </xf>
    <xf numFmtId="165" fontId="3" fillId="4" borderId="5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1" fontId="3" fillId="4" borderId="4" xfId="0" applyNumberFormat="1" applyFont="1" applyFill="1" applyBorder="1" applyAlignment="1">
      <alignment horizontal="center" vertical="center"/>
    </xf>
    <xf numFmtId="166" fontId="3" fillId="4" borderId="5" xfId="0" applyNumberFormat="1" applyFont="1" applyFill="1" applyBorder="1" applyAlignment="1">
      <alignment horizontal="right" vertical="center"/>
    </xf>
    <xf numFmtId="4" fontId="3" fillId="4" borderId="5" xfId="0" applyNumberFormat="1" applyFont="1" applyFill="1" applyBorder="1" applyAlignment="1">
      <alignment horizontal="right" vertical="center"/>
    </xf>
    <xf numFmtId="167" fontId="3" fillId="4" borderId="4" xfId="0" applyNumberFormat="1" applyFont="1" applyFill="1" applyBorder="1" applyAlignment="1">
      <alignment vertical="center"/>
    </xf>
    <xf numFmtId="167" fontId="3" fillId="0" borderId="5" xfId="0" applyNumberFormat="1" applyFont="1" applyBorder="1" applyAlignment="1">
      <alignment horizontal="right" vertical="center"/>
    </xf>
    <xf numFmtId="0" fontId="3" fillId="0" borderId="4" xfId="0" applyFont="1" applyBorder="1"/>
    <xf numFmtId="0" fontId="3" fillId="0" borderId="6" xfId="0" applyFont="1" applyBorder="1" applyAlignment="1">
      <alignment horizontal="center"/>
    </xf>
    <xf numFmtId="14" fontId="3" fillId="4" borderId="4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20" fontId="2" fillId="0" borderId="4" xfId="0" applyNumberFormat="1" applyFont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167" fontId="3" fillId="0" borderId="4" xfId="0" applyNumberFormat="1" applyFont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20" fontId="2" fillId="0" borderId="7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1" fontId="2" fillId="0" borderId="7" xfId="0" applyNumberFormat="1" applyFont="1" applyBorder="1" applyAlignment="1">
      <alignment horizontal="center" shrinkToFit="1"/>
    </xf>
    <xf numFmtId="0" fontId="5" fillId="0" borderId="7" xfId="0" applyFont="1" applyBorder="1" applyAlignment="1">
      <alignment horizontal="center"/>
    </xf>
    <xf numFmtId="1" fontId="3" fillId="4" borderId="7" xfId="0" applyNumberFormat="1" applyFont="1" applyFill="1" applyBorder="1" applyAlignment="1">
      <alignment horizontal="center" vertical="center"/>
    </xf>
    <xf numFmtId="168" fontId="3" fillId="4" borderId="7" xfId="0" applyNumberFormat="1" applyFont="1" applyFill="1" applyBorder="1" applyAlignment="1">
      <alignment horizontal="center" vertical="center"/>
    </xf>
    <xf numFmtId="167" fontId="3" fillId="4" borderId="7" xfId="0" applyNumberFormat="1" applyFont="1" applyFill="1" applyBorder="1" applyAlignment="1">
      <alignment vertical="center"/>
    </xf>
    <xf numFmtId="0" fontId="3" fillId="0" borderId="7" xfId="0" applyFont="1" applyBorder="1"/>
    <xf numFmtId="167" fontId="3" fillId="0" borderId="7" xfId="0" applyNumberFormat="1" applyFont="1" applyBorder="1"/>
    <xf numFmtId="0" fontId="3" fillId="0" borderId="8" xfId="0" applyFont="1" applyBorder="1" applyAlignment="1">
      <alignment horizontal="center"/>
    </xf>
    <xf numFmtId="4" fontId="4" fillId="0" borderId="5" xfId="0" applyNumberFormat="1" applyFont="1" applyBorder="1" applyAlignment="1">
      <alignment horizontal="right" vertical="center"/>
    </xf>
    <xf numFmtId="1" fontId="6" fillId="0" borderId="7" xfId="0" applyNumberFormat="1" applyFont="1" applyBorder="1" applyAlignment="1">
      <alignment horizontal="center" shrinkToFit="1"/>
    </xf>
    <xf numFmtId="167" fontId="3" fillId="4" borderId="7" xfId="0" applyNumberFormat="1" applyFont="1" applyFill="1" applyBorder="1" applyAlignment="1">
      <alignment horizontal="center" vertical="center"/>
    </xf>
    <xf numFmtId="167" fontId="3" fillId="4" borderId="4" xfId="0" applyNumberFormat="1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/>
    </xf>
    <xf numFmtId="49" fontId="3" fillId="0" borderId="4" xfId="0" applyNumberFormat="1" applyFont="1" applyBorder="1"/>
    <xf numFmtId="1" fontId="6" fillId="0" borderId="4" xfId="0" applyNumberFormat="1" applyFont="1" applyBorder="1" applyAlignment="1">
      <alignment horizontal="center" shrinkToFit="1"/>
    </xf>
    <xf numFmtId="167" fontId="3" fillId="0" borderId="0" xfId="0" applyNumberFormat="1" applyFont="1"/>
    <xf numFmtId="0" fontId="8" fillId="2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4" fontId="9" fillId="8" borderId="5" xfId="0" applyNumberFormat="1" applyFont="1" applyFill="1" applyBorder="1" applyAlignment="1">
      <alignment horizontal="right" vertical="center"/>
    </xf>
    <xf numFmtId="0" fontId="4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3" fillId="0" borderId="9" xfId="0" applyFont="1" applyBorder="1"/>
    <xf numFmtId="167" fontId="1" fillId="0" borderId="0" xfId="0" applyNumberFormat="1" applyFont="1"/>
    <xf numFmtId="0" fontId="1" fillId="7" borderId="0" xfId="0" applyFont="1" applyFill="1" applyAlignment="1">
      <alignment horizontal="center"/>
    </xf>
    <xf numFmtId="0" fontId="5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5" fillId="0" borderId="4" xfId="0" applyFont="1" applyBorder="1" applyAlignment="1">
      <alignment horizontal="center" vertical="center" wrapText="1"/>
    </xf>
    <xf numFmtId="20" fontId="2" fillId="7" borderId="4" xfId="0" applyNumberFormat="1" applyFont="1" applyFill="1" applyBorder="1" applyAlignment="1">
      <alignment horizontal="center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3" fillId="0" borderId="0" xfId="0" applyFont="1"/>
    <xf numFmtId="0" fontId="5" fillId="0" borderId="4" xfId="0" applyFont="1" applyBorder="1" applyAlignment="1">
      <alignment horizontal="center"/>
    </xf>
    <xf numFmtId="167" fontId="3" fillId="4" borderId="5" xfId="0" applyNumberFormat="1" applyFont="1" applyFill="1" applyBorder="1" applyAlignment="1">
      <alignment horizontal="right" vertical="center"/>
    </xf>
    <xf numFmtId="167" fontId="11" fillId="8" borderId="5" xfId="0" applyNumberFormat="1" applyFont="1" applyFill="1" applyBorder="1" applyAlignment="1">
      <alignment horizontal="right" vertical="center"/>
    </xf>
    <xf numFmtId="0" fontId="3" fillId="0" borderId="5" xfId="0" applyFont="1" applyBorder="1"/>
    <xf numFmtId="167" fontId="1" fillId="0" borderId="5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wrapText="1" indent="1"/>
    </xf>
    <xf numFmtId="0" fontId="3" fillId="0" borderId="10" xfId="0" applyFont="1" applyBorder="1"/>
    <xf numFmtId="0" fontId="3" fillId="0" borderId="10" xfId="0" applyFont="1" applyBorder="1" applyAlignment="1">
      <alignment horizontal="center"/>
    </xf>
    <xf numFmtId="168" fontId="3" fillId="0" borderId="0" xfId="0" applyNumberFormat="1" applyFont="1"/>
    <xf numFmtId="0" fontId="13" fillId="0" borderId="0" xfId="0" applyFont="1"/>
    <xf numFmtId="0" fontId="14" fillId="0" borderId="0" xfId="0" applyFont="1" applyAlignment="1">
      <alignment vertical="center"/>
    </xf>
    <xf numFmtId="0" fontId="12" fillId="0" borderId="4" xfId="0" applyFont="1" applyBorder="1"/>
    <xf numFmtId="0" fontId="6" fillId="0" borderId="4" xfId="0" applyFont="1" applyBorder="1" applyAlignment="1">
      <alignment horizontal="left" vertical="center" wrapText="1" indent="1"/>
    </xf>
    <xf numFmtId="0" fontId="15" fillId="0" borderId="0" xfId="0" applyFont="1"/>
    <xf numFmtId="0" fontId="6" fillId="0" borderId="0" xfId="0" applyFont="1"/>
    <xf numFmtId="20" fontId="2" fillId="9" borderId="4" xfId="0" applyNumberFormat="1" applyFont="1" applyFill="1" applyBorder="1" applyAlignment="1">
      <alignment horizontal="center"/>
    </xf>
    <xf numFmtId="0" fontId="6" fillId="9" borderId="4" xfId="0" applyFont="1" applyFill="1" applyBorder="1" applyAlignment="1">
      <alignment horizontal="center" wrapText="1"/>
    </xf>
    <xf numFmtId="0" fontId="5" fillId="0" borderId="0" xfId="0" applyFont="1"/>
    <xf numFmtId="0" fontId="3" fillId="7" borderId="4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6" fillId="0" borderId="4" xfId="0" applyFont="1" applyBorder="1" applyAlignment="1">
      <alignment wrapText="1" indent="1"/>
    </xf>
    <xf numFmtId="0" fontId="6" fillId="0" borderId="4" xfId="0" applyFont="1" applyBorder="1"/>
    <xf numFmtId="0" fontId="6" fillId="0" borderId="4" xfId="0" applyFont="1" applyBorder="1" applyAlignment="1">
      <alignment vertical="center" wrapText="1"/>
    </xf>
    <xf numFmtId="0" fontId="5" fillId="0" borderId="0" xfId="0" applyFont="1" applyAlignment="1">
      <alignment horizontal="center"/>
    </xf>
    <xf numFmtId="168" fontId="6" fillId="0" borderId="4" xfId="0" applyNumberFormat="1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6" fillId="0" borderId="0" xfId="0" applyFont="1" applyAlignment="1">
      <alignment wrapText="1" indent="1"/>
    </xf>
    <xf numFmtId="169" fontId="6" fillId="0" borderId="4" xfId="0" applyNumberFormat="1" applyFont="1" applyBorder="1"/>
    <xf numFmtId="0" fontId="5" fillId="0" borderId="11" xfId="0" applyFont="1" applyBorder="1"/>
    <xf numFmtId="0" fontId="5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/>
    </xf>
    <xf numFmtId="0" fontId="3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1.xml"/><Relationship Id="rId11" Type="http://schemas.openxmlformats.org/officeDocument/2006/relationships/worksheet" Target="worksheets/sheet12.xml"/><Relationship Id="rId12" Type="http://schemas.openxmlformats.org/officeDocument/2006/relationships/worksheet" Target="worksheets/sheet13.xml"/><Relationship Id="rId13" Type="http://schemas.openxmlformats.org/officeDocument/2006/relationships/worksheet" Target="worksheets/sheet14.xml"/><Relationship Id="rId14" Type="http://schemas.openxmlformats.org/officeDocument/2006/relationships/worksheet" Target="worksheets/sheet15.xml"/><Relationship Id="rId15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edex.com/fedextrack/?trknbr=287292356050" TargetMode="External"/><Relationship Id="rId2" Type="http://schemas.openxmlformats.org/officeDocument/2006/relationships/hyperlink" Target="https://tools.usps.com/go/TrackConfirmAction?qtc_tLabels1=9434611106150435198173" TargetMode="External"/><Relationship Id="rId3" Type="http://schemas.openxmlformats.org/officeDocument/2006/relationships/hyperlink" Target="https://www.fedex.com/fedextrack/?trknbr=288943536337" TargetMode="External"/><Relationship Id="rId4" Type="http://schemas.openxmlformats.org/officeDocument/2006/relationships/hyperlink" Target="https://www.ebay.com/itm/277015627382" TargetMode="External"/><Relationship Id="rId5" Type="http://schemas.openxmlformats.org/officeDocument/2006/relationships/hyperlink" Target="https://www.fedex.com/fedextrack/?trknbr=289416224209" TargetMode="External"/><Relationship Id="rId6" Type="http://schemas.openxmlformats.org/officeDocument/2006/relationships/hyperlink" Target="https://tools.usps.com/go/TrackConfirmAction?qtc_tLabels1=9434650206217031556863" TargetMode="External"/><Relationship Id="rId7" Type="http://schemas.openxmlformats.org/officeDocument/2006/relationships/hyperlink" Target="https://www.fedex.com/fedextrack/?trknbr=289451394806" TargetMode="External"/><Relationship Id="rId8" Type="http://schemas.openxmlformats.org/officeDocument/2006/relationships/hyperlink" Target="https://tools.usps.com/go/TrackConfirmAction?qtc_tLabels1=9434650206217032072539" TargetMode="External"/><Relationship Id="rId9" Type="http://schemas.openxmlformats.org/officeDocument/2006/relationships/hyperlink" Target="https://www.fedex.com/fedextrack/?trknbr=390122963595" TargetMode="External"/><Relationship Id="rId10" Type="http://schemas.openxmlformats.org/officeDocument/2006/relationships/hyperlink" Target="https://www.fedex.com/fedextrack/?trknbr=39013871505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edex.com/fedextrack/?trknbr=287292356050" TargetMode="External"/><Relationship Id="rId2" Type="http://schemas.openxmlformats.org/officeDocument/2006/relationships/hyperlink" Target="https://tools.usps.com/go/TrackConfirmAction?qtc_tLabels1=943461110615043519817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edex.com/fedextrack/?trknbr=288943536337" TargetMode="External"/><Relationship Id="rId2" Type="http://schemas.openxmlformats.org/officeDocument/2006/relationships/hyperlink" Target="https://www.ebay.com/itm/277015627382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edex.com/fedextrack/?trknbr=289416224209" TargetMode="External"/><Relationship Id="rId2" Type="http://schemas.openxmlformats.org/officeDocument/2006/relationships/hyperlink" Target="https://www.ebay.com/str/itsworthmore?_trksid=p4429486.m3561.l161211" TargetMode="External"/><Relationship Id="rId3" Type="http://schemas.openxmlformats.org/officeDocument/2006/relationships/hyperlink" Target="https://www.ebay.com/itm/186891577082" TargetMode="External"/><Relationship Id="rId4" Type="http://schemas.openxmlformats.org/officeDocument/2006/relationships/hyperlink" Target="https://tools.usps.com/go/TrackConfirmAction?qtc_tLabels1=9434650206217031556863" TargetMode="External"/><Relationship Id="rId5" Type="http://schemas.openxmlformats.org/officeDocument/2006/relationships/hyperlink" Target="https://www.ebay.com/str/itsworthmore?_trksid=p4429486.m3561.l161211" TargetMode="External"/><Relationship Id="rId6" Type="http://schemas.openxmlformats.org/officeDocument/2006/relationships/hyperlink" Target="https://www.ebay.com/itm/297299564750" TargetMode="External"/><Relationship Id="rId7" Type="http://schemas.openxmlformats.org/officeDocument/2006/relationships/hyperlink" Target="https://www.fedex.com/fedextrack/?trknbr=289451394806" TargetMode="External"/><Relationship Id="rId8" Type="http://schemas.openxmlformats.org/officeDocument/2006/relationships/hyperlink" Target="https://www.ebay.com/str/itsworthmore?_trksid=p4429486.m3561.l161211" TargetMode="External"/><Relationship Id="rId9" Type="http://schemas.openxmlformats.org/officeDocument/2006/relationships/hyperlink" Target="https://www.ebay.com/itm/297299560876" TargetMode="External"/><Relationship Id="rId10" Type="http://schemas.openxmlformats.org/officeDocument/2006/relationships/hyperlink" Target="https://tools.usps.com/go/TrackConfirmAction?qtc_tLabels1=9434650206217032072539" TargetMode="External"/><Relationship Id="rId11" Type="http://schemas.openxmlformats.org/officeDocument/2006/relationships/hyperlink" Target="https://www.ebay.com/str/itsworthmore?_trksid=p4429486.m3561.l161211" TargetMode="External"/><Relationship Id="rId12" Type="http://schemas.openxmlformats.org/officeDocument/2006/relationships/hyperlink" Target="https://www.ebay.com/itm/277105098742" TargetMode="External"/><Relationship Id="rId13" Type="http://schemas.openxmlformats.org/officeDocument/2006/relationships/hyperlink" Target="https://www.fedex.com/fedextrack/?trknbr=390122963595" TargetMode="External"/><Relationship Id="rId14" Type="http://schemas.openxmlformats.org/officeDocument/2006/relationships/hyperlink" Target="https://www.ebay.com/str/itsworthmore?_trksid=p4429486.m3561.l161211" TargetMode="External"/><Relationship Id="rId15" Type="http://schemas.openxmlformats.org/officeDocument/2006/relationships/hyperlink" Target="https://www.ebay.com/itm/277105364954" TargetMode="External"/><Relationship Id="rId16" Type="http://schemas.openxmlformats.org/officeDocument/2006/relationships/hyperlink" Target="https://www.fedex.com/fedextrack/?trknbr=390138715050" TargetMode="External"/><Relationship Id="rId17" Type="http://schemas.openxmlformats.org/officeDocument/2006/relationships/hyperlink" Target="https://www.ebay.com/str/itsworthmore?_trksid=p4429486.m3561.l161211" TargetMode="External"/><Relationship Id="rId18" Type="http://schemas.openxmlformats.org/officeDocument/2006/relationships/hyperlink" Target="https://www.ebay.com/itm/286573692623" TargetMode="External"/><Relationship Id="rId19" Type="http://schemas.openxmlformats.org/officeDocument/2006/relationships/hyperlink" Target="https://tools.usps.com/go/TrackConfirmAction?qtc_tLabels1=9400150899563019850716" TargetMode="External"/><Relationship Id="rId20" Type="http://schemas.openxmlformats.org/officeDocument/2006/relationships/hyperlink" Target="https://www.ebay.com/str/watchgooroo?_trksid=p4429486.m3561.l161211" TargetMode="External"/><Relationship Id="rId21" Type="http://schemas.openxmlformats.org/officeDocument/2006/relationships/hyperlink" Target="https://www.ebay.com/itm/335930354247" TargetMode="External"/><Relationship Id="rId22" Type="http://schemas.openxmlformats.org/officeDocument/2006/relationships/hyperlink" Target="https://www.fedex.com/fedextrack/?trknbr=390266893450" TargetMode="External"/><Relationship Id="rId23" Type="http://schemas.openxmlformats.org/officeDocument/2006/relationships/hyperlink" Target="https://www.ebay.com/str/itsworthmore?_trksid=p4429486.m3561.l161211" TargetMode="External"/><Relationship Id="rId24" Type="http://schemas.openxmlformats.org/officeDocument/2006/relationships/hyperlink" Target="https://www.ebay.com/itm/286586849319" TargetMode="External"/><Relationship Id="rId25" Type="http://schemas.openxmlformats.org/officeDocument/2006/relationships/hyperlink" Target="https://www.fedex.com/fedextrack/?trknbr=390293187390" TargetMode="External"/><Relationship Id="rId26" Type="http://schemas.openxmlformats.org/officeDocument/2006/relationships/hyperlink" Target="https://www.ebay.com/str/itsworthmore?_trksid=p4429486.m3561.l161211" TargetMode="External"/><Relationship Id="rId27" Type="http://schemas.openxmlformats.org/officeDocument/2006/relationships/hyperlink" Target="https://www.ebay.com/itm/297299911584" TargetMode="External"/><Relationship Id="rId28" Type="http://schemas.openxmlformats.org/officeDocument/2006/relationships/hyperlink" Target="https://www.fedex.com/fedextrack/?trknbr=390322005262" TargetMode="External"/><Relationship Id="rId29" Type="http://schemas.openxmlformats.org/officeDocument/2006/relationships/hyperlink" Target="https://www.ebay.com/str/itsworthmore?_trksid=p4429486.m3561.l161211" TargetMode="External"/><Relationship Id="rId30" Type="http://schemas.openxmlformats.org/officeDocument/2006/relationships/hyperlink" Target="https://www.ebay.com/itm/297398368590" TargetMode="External"/><Relationship Id="rId31" Type="http://schemas.openxmlformats.org/officeDocument/2006/relationships/hyperlink" Target="https://www.fedex.com/fedextrack/?trknbr=390358004771" TargetMode="External"/><Relationship Id="rId32" Type="http://schemas.openxmlformats.org/officeDocument/2006/relationships/hyperlink" Target="https://www.ebay.com/str/itsworthmore?_trksid=p4429486.m3561.l161211" TargetMode="External"/><Relationship Id="rId33" Type="http://schemas.openxmlformats.org/officeDocument/2006/relationships/hyperlink" Target="https://www.ebay.com/itm/297300017214" TargetMode="External"/><Relationship Id="rId34" Type="http://schemas.openxmlformats.org/officeDocument/2006/relationships/hyperlink" Target="https://www.fedex.com/fedextrack/?trknbr=390404256148" TargetMode="External"/><Relationship Id="rId35" Type="http://schemas.openxmlformats.org/officeDocument/2006/relationships/hyperlink" Target="https://www.ebay.com/str/itsworthmore?_trksid=p4429486.m3561.l161211" TargetMode="External"/><Relationship Id="rId36" Type="http://schemas.openxmlformats.org/officeDocument/2006/relationships/hyperlink" Target="https://www.ebay.com/itm/277203816298" TargetMode="External"/><Relationship Id="rId37" Type="http://schemas.openxmlformats.org/officeDocument/2006/relationships/hyperlink" Target="https://www.fedex.com/fedextrack/?trknbr=390512357619" TargetMode="External"/><Relationship Id="rId38" Type="http://schemas.openxmlformats.org/officeDocument/2006/relationships/hyperlink" Target="https://www.ebay.com/str/itsworthmore?_trksid=p4429486.m3561.l161211" TargetMode="External"/><Relationship Id="rId39" Type="http://schemas.openxmlformats.org/officeDocument/2006/relationships/hyperlink" Target="https://www.ebay.com/itm/277105592970" TargetMode="External"/><Relationship Id="rId40" Type="http://schemas.openxmlformats.org/officeDocument/2006/relationships/hyperlink" Target="https://www.fedex.com/fedextrack/?trknbr=390507477441" TargetMode="External"/><Relationship Id="rId41" Type="http://schemas.openxmlformats.org/officeDocument/2006/relationships/hyperlink" Target="https://www.ebay.com/str/itsworthmore?_trksid=p4429486.m3561.l161211" TargetMode="External"/><Relationship Id="rId42" Type="http://schemas.openxmlformats.org/officeDocument/2006/relationships/hyperlink" Target="https://www.ebay.com/itm/277105491651" TargetMode="External"/><Relationship Id="rId43" Type="http://schemas.openxmlformats.org/officeDocument/2006/relationships/hyperlink" Target="https://www.fedex.com/fedextrack/?trknbr=390507333071" TargetMode="External"/><Relationship Id="rId44" Type="http://schemas.openxmlformats.org/officeDocument/2006/relationships/hyperlink" Target="https://www.ebay.com/str/itsworthmore?_trksid=p4429486.m3561.l161211" TargetMode="External"/><Relationship Id="rId45" Type="http://schemas.openxmlformats.org/officeDocument/2006/relationships/hyperlink" Target="https://www.ebay.com/itm/277105514762" TargetMode="External"/><Relationship Id="rId46" Type="http://schemas.openxmlformats.org/officeDocument/2006/relationships/hyperlink" Target="https://www.fedex.com/fedextrack/?trknbr=390508740931" TargetMode="External"/><Relationship Id="rId47" Type="http://schemas.openxmlformats.org/officeDocument/2006/relationships/hyperlink" Target="https://www.ebay.com/str/itsworthmore?_trksid=p4429486.m3561.l161211" TargetMode="External"/><Relationship Id="rId48" Type="http://schemas.openxmlformats.org/officeDocument/2006/relationships/hyperlink" Target="https://www.ebay.com/itm/27713093952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www.ebay.com/str/itsworthmore?_trksid=p4429486.m3561.l161211" TargetMode="External"/><Relationship Id="rId2" Type="http://schemas.openxmlformats.org/officeDocument/2006/relationships/hyperlink" Target="https://www.ebay.com/itm/297300005839" TargetMode="External"/><Relationship Id="rId3" Type="http://schemas.openxmlformats.org/officeDocument/2006/relationships/hyperlink" Target="https://www.ebay.com/usr/pointlomasd" TargetMode="External"/><Relationship Id="rId4" Type="http://schemas.openxmlformats.org/officeDocument/2006/relationships/hyperlink" Target="https://www.ebay.com/itm/396813658660" TargetMode="External"/><Relationship Id="rId5" Type="http://schemas.openxmlformats.org/officeDocument/2006/relationships/hyperlink" Target="https://www.ebay.com/usr/surplusspectra" TargetMode="External"/><Relationship Id="rId6" Type="http://schemas.openxmlformats.org/officeDocument/2006/relationships/hyperlink" Target="https://www.ebay.com/itm/187383050313" TargetMode="External"/><Relationship Id="rId7" Type="http://schemas.openxmlformats.org/officeDocument/2006/relationships/hyperlink" Target="https://www.ebay.com/usr/beibao_chargers" TargetMode="External"/><Relationship Id="rId8" Type="http://schemas.openxmlformats.org/officeDocument/2006/relationships/hyperlink" Target="https://www.ebay.com/itm/356785357587" TargetMode="External"/><Relationship Id="rId9" Type="http://schemas.openxmlformats.org/officeDocument/2006/relationships/hyperlink" Target="https://www.ebay.com/usr/itsworthmore" TargetMode="External"/><Relationship Id="rId10" Type="http://schemas.openxmlformats.org/officeDocument/2006/relationships/hyperlink" Target="https://www.ebay.com/itm/286663924614" TargetMode="External"/><Relationship Id="rId11" Type="http://schemas.openxmlformats.org/officeDocument/2006/relationships/hyperlink" Target="https://www.ebay.com/usr/phileral" TargetMode="External"/><Relationship Id="rId12" Type="http://schemas.openxmlformats.org/officeDocument/2006/relationships/hyperlink" Target="https://www.ebay.com/itm/157138883599" TargetMode="External"/><Relationship Id="rId13" Type="http://schemas.openxmlformats.org/officeDocument/2006/relationships/hyperlink" Target="https://www.ebay.com/usr/time2envy" TargetMode="External"/><Relationship Id="rId14" Type="http://schemas.openxmlformats.org/officeDocument/2006/relationships/hyperlink" Target="https://www.ebay.com/itm/177231870162" TargetMode="External"/><Relationship Id="rId15" Type="http://schemas.openxmlformats.org/officeDocument/2006/relationships/hyperlink" Target="https://www.ebay.com/usr/time2envy" TargetMode="External"/><Relationship Id="rId16" Type="http://schemas.openxmlformats.org/officeDocument/2006/relationships/hyperlink" Target="https://www.ebay.com/itm/177231873593" TargetMode="External"/><Relationship Id="rId17" Type="http://schemas.openxmlformats.org/officeDocument/2006/relationships/hyperlink" Target="https://www.ebay.com/usr/omahablue" TargetMode="External"/><Relationship Id="rId18" Type="http://schemas.openxmlformats.org/officeDocument/2006/relationships/hyperlink" Target="https://www.ebay.com/itm/296560666358" TargetMode="External"/><Relationship Id="rId19" Type="http://schemas.openxmlformats.org/officeDocument/2006/relationships/hyperlink" Target="https://www.ebay.com/usr/timewizardwatches" TargetMode="External"/><Relationship Id="rId20" Type="http://schemas.openxmlformats.org/officeDocument/2006/relationships/hyperlink" Target="https://www.ebay.com/itm/376328296067" TargetMode="External"/><Relationship Id="rId21" Type="http://schemas.openxmlformats.org/officeDocument/2006/relationships/hyperlink" Target="https://www.ebay.com/usr/josephwolf" TargetMode="External"/><Relationship Id="rId22" Type="http://schemas.openxmlformats.org/officeDocument/2006/relationships/hyperlink" Target="https://www.ebay.com/itm/297346332018" TargetMode="External"/><Relationship Id="rId23" Type="http://schemas.openxmlformats.org/officeDocument/2006/relationships/hyperlink" Target="https://www.ebay.com/usr/josephwolf" TargetMode="External"/><Relationship Id="rId24" Type="http://schemas.openxmlformats.org/officeDocument/2006/relationships/hyperlink" Target="https://www.ebay.com/itm/297346321666" TargetMode="External"/><Relationship Id="rId25" Type="http://schemas.openxmlformats.org/officeDocument/2006/relationships/hyperlink" Target="https://www.ebay.com/usr/usdav_wiibo" TargetMode="External"/><Relationship Id="rId26" Type="http://schemas.openxmlformats.org/officeDocument/2006/relationships/hyperlink" Target="https://www.ebay.com/itm/177136670340" TargetMode="External"/><Relationship Id="rId27" Type="http://schemas.openxmlformats.org/officeDocument/2006/relationships/hyperlink" Target="https://www.ebay.com/usr/merresale" TargetMode="External"/><Relationship Id="rId28" Type="http://schemas.openxmlformats.org/officeDocument/2006/relationships/hyperlink" Target="https://www.ebay.com/itm/267317796506" TargetMode="External"/><Relationship Id="rId29" Type="http://schemas.openxmlformats.org/officeDocument/2006/relationships/hyperlink" Target="https://www.ebay.com/usr/itsworthmore" TargetMode="External"/><Relationship Id="rId30" Type="http://schemas.openxmlformats.org/officeDocument/2006/relationships/hyperlink" Target="https://www.ebay.com/itm/277231544009" TargetMode="External"/><Relationship Id="rId31" Type="http://schemas.openxmlformats.org/officeDocument/2006/relationships/hyperlink" Target="https://www.ebay.com/usr/itsworthmore" TargetMode="External"/><Relationship Id="rId32" Type="http://schemas.openxmlformats.org/officeDocument/2006/relationships/hyperlink" Target="https://www.ebay.com/itm/286673679528" TargetMode="External"/><Relationship Id="rId33" Type="http://schemas.openxmlformats.org/officeDocument/2006/relationships/hyperlink" Target="https://www.ebay.com/usr/itsworthmore" TargetMode="External"/><Relationship Id="rId34" Type="http://schemas.openxmlformats.org/officeDocument/2006/relationships/hyperlink" Target="https://www.ebay.com/itm/286673669579" TargetMode="External"/><Relationship Id="rId35" Type="http://schemas.openxmlformats.org/officeDocument/2006/relationships/hyperlink" Target="https://www.ebay.com/usr/itsworthmore" TargetMode="External"/><Relationship Id="rId36" Type="http://schemas.openxmlformats.org/officeDocument/2006/relationships/hyperlink" Target="https://www.ebay.com/itm/297433144126" TargetMode="External"/><Relationship Id="rId37" Type="http://schemas.openxmlformats.org/officeDocument/2006/relationships/hyperlink" Target="https://www.ebay.com/usr/omahablue" TargetMode="External"/><Relationship Id="rId38" Type="http://schemas.openxmlformats.org/officeDocument/2006/relationships/hyperlink" Target="https://www.ebay.com/itm/305216899664" TargetMode="External"/><Relationship Id="rId39" Type="http://schemas.openxmlformats.org/officeDocument/2006/relationships/hyperlink" Target="https://www.ebay.com/usr/itsworthmore" TargetMode="External"/><Relationship Id="rId40" Type="http://schemas.openxmlformats.org/officeDocument/2006/relationships/hyperlink" Target="https://www.ebay.com/itm/297433195140" TargetMode="External"/><Relationship Id="rId41" Type="http://schemas.openxmlformats.org/officeDocument/2006/relationships/hyperlink" Target="https://www.ebay.com/usr/itsworthmore" TargetMode="External"/><Relationship Id="rId42" Type="http://schemas.openxmlformats.org/officeDocument/2006/relationships/hyperlink" Target="https://www.ebay.com/itm/286687385086" TargetMode="External"/><Relationship Id="rId43" Type="http://schemas.openxmlformats.org/officeDocument/2006/relationships/hyperlink" Target="https://www.ebay.com/usr/itsworthmore" TargetMode="External"/><Relationship Id="rId44" Type="http://schemas.openxmlformats.org/officeDocument/2006/relationships/hyperlink" Target="https://www.ebay.com/itm/297435104244" TargetMode="External"/><Relationship Id="rId45" Type="http://schemas.openxmlformats.org/officeDocument/2006/relationships/hyperlink" Target="https://www.ebay.com/usr/itsworthmore" TargetMode="External"/><Relationship Id="rId46" Type="http://schemas.openxmlformats.org/officeDocument/2006/relationships/hyperlink" Target="https://www.ebay.com/itm/277231647694" TargetMode="External"/><Relationship Id="rId47" Type="http://schemas.openxmlformats.org/officeDocument/2006/relationships/hyperlink" Target="https://www.ebay.com/usr/kylethomas" TargetMode="External"/><Relationship Id="rId48" Type="http://schemas.openxmlformats.org/officeDocument/2006/relationships/hyperlink" Target="https://www.ebay.com/itm/197547040928" TargetMode="External"/><Relationship Id="rId49" Type="http://schemas.openxmlformats.org/officeDocument/2006/relationships/hyperlink" Target="https://www.ebay.com/itm/157174637699" TargetMode="External"/><Relationship Id="rId50" Type="http://schemas.openxmlformats.org/officeDocument/2006/relationships/hyperlink" Target="https://www.ebay.com/usr/itsworthmore" TargetMode="External"/><Relationship Id="rId51" Type="http://schemas.openxmlformats.org/officeDocument/2006/relationships/hyperlink" Target="https://www.ebay.com/itm/297448584363" TargetMode="External"/><Relationship Id="rId52" Type="http://schemas.openxmlformats.org/officeDocument/2006/relationships/hyperlink" Target="https://www.ebay.com/usr/itsworthmore" TargetMode="External"/><Relationship Id="rId53" Type="http://schemas.openxmlformats.org/officeDocument/2006/relationships/hyperlink" Target="https://www.ebay.com/itm/286686597657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www.ebay.com/usr/evalueexpo" TargetMode="External"/><Relationship Id="rId2" Type="http://schemas.openxmlformats.org/officeDocument/2006/relationships/hyperlink" Target="https://www.ebay.com/itm/146517882578" TargetMode="External"/><Relationship Id="rId3" Type="http://schemas.openxmlformats.org/officeDocument/2006/relationships/hyperlink" Target="https://www.ebay.com/usr/the-accumulators" TargetMode="External"/><Relationship Id="rId4" Type="http://schemas.openxmlformats.org/officeDocument/2006/relationships/hyperlink" Target="https://www.ebay.com/itm/396866903274" TargetMode="External"/><Relationship Id="rId5" Type="http://schemas.openxmlformats.org/officeDocument/2006/relationships/hyperlink" Target="https://www.ebay.com/itm/286686574348" TargetMode="External"/><Relationship Id="rId6" Type="http://schemas.openxmlformats.org/officeDocument/2006/relationships/hyperlink" Target="https://www.ebay.com/usr/wikiwoo" TargetMode="External"/><Relationship Id="rId7" Type="http://schemas.openxmlformats.org/officeDocument/2006/relationships/hyperlink" Target="https://www.ebay.com/itm/157205968358" TargetMode="External"/><Relationship Id="rId8" Type="http://schemas.openxmlformats.org/officeDocument/2006/relationships/hyperlink" Target="https://www.ebay.com/usr/preownedtech" TargetMode="External"/><Relationship Id="rId9" Type="http://schemas.openxmlformats.org/officeDocument/2006/relationships/hyperlink" Target="https://www.ebay.com/itm/306425418533" TargetMode="External"/><Relationship Id="rId10" Type="http://schemas.openxmlformats.org/officeDocument/2006/relationships/hyperlink" Target="https://www.ebay.com/usr/preownedtech" TargetMode="External"/><Relationship Id="rId11" Type="http://schemas.openxmlformats.org/officeDocument/2006/relationships/hyperlink" Target="https://www.ebay.com/itm/336102720057" TargetMode="External"/><Relationship Id="rId12" Type="http://schemas.openxmlformats.org/officeDocument/2006/relationships/hyperlink" Target="https://www.ebay.com/usr/phileral" TargetMode="External"/><Relationship Id="rId13" Type="http://schemas.openxmlformats.org/officeDocument/2006/relationships/hyperlink" Target="https://www.ebay.com/itm/157212203248" TargetMode="External"/><Relationship Id="rId14" Type="http://schemas.openxmlformats.org/officeDocument/2006/relationships/hyperlink" Target="https://www.ebay.com/usr/smartresale" TargetMode="External"/><Relationship Id="rId15" Type="http://schemas.openxmlformats.org/officeDocument/2006/relationships/hyperlink" Target="https://www.ebay.com/itm/226903608121" TargetMode="External"/><Relationship Id="rId16" Type="http://schemas.openxmlformats.org/officeDocument/2006/relationships/hyperlink" Target="https://www.ebay.com/usr/preownedtech" TargetMode="External"/><Relationship Id="rId17" Type="http://schemas.openxmlformats.org/officeDocument/2006/relationships/hyperlink" Target="https://www.ebay.com/itm/306435383764" TargetMode="External"/><Relationship Id="rId18" Type="http://schemas.openxmlformats.org/officeDocument/2006/relationships/hyperlink" Target="https://www.ebay.com/usr/smartresale" TargetMode="External"/><Relationship Id="rId19" Type="http://schemas.openxmlformats.org/officeDocument/2006/relationships/hyperlink" Target="https://www.ebay.com/itm/226904858294" TargetMode="External"/><Relationship Id="rId20" Type="http://schemas.openxmlformats.org/officeDocument/2006/relationships/hyperlink" Target="https://www.ebay.com/usr/time2envy" TargetMode="External"/><Relationship Id="rId21" Type="http://schemas.openxmlformats.org/officeDocument/2006/relationships/hyperlink" Target="https://www.ebay.com/itm/177315423373" TargetMode="External"/><Relationship Id="rId22" Type="http://schemas.openxmlformats.org/officeDocument/2006/relationships/hyperlink" Target="https://www.ebay.com/usr/smartresale" TargetMode="External"/><Relationship Id="rId23" Type="http://schemas.openxmlformats.org/officeDocument/2006/relationships/hyperlink" Target="https://www.ebay.com/itm/226905402694" TargetMode="External"/><Relationship Id="rId24" Type="http://schemas.openxmlformats.org/officeDocument/2006/relationships/hyperlink" Target="https://www.ebay.com/usr/simer_camer" TargetMode="External"/><Relationship Id="rId25" Type="http://schemas.openxmlformats.org/officeDocument/2006/relationships/hyperlink" Target="https://www.ebay.com/itm/116667974336" TargetMode="External"/><Relationship Id="rId26" Type="http://schemas.openxmlformats.org/officeDocument/2006/relationships/hyperlink" Target="https://www.ebay.com/usr/simer_camer" TargetMode="External"/><Relationship Id="rId27" Type="http://schemas.openxmlformats.org/officeDocument/2006/relationships/hyperlink" Target="https://www.ebay.com/itm/116667976839" TargetMode="External"/><Relationship Id="rId28" Type="http://schemas.openxmlformats.org/officeDocument/2006/relationships/hyperlink" Target="https://www.ebay.com/usr/niklin0823" TargetMode="External"/><Relationship Id="rId29" Type="http://schemas.openxmlformats.org/officeDocument/2006/relationships/hyperlink" Target="https://www.ebay.com/itm/406071486342" TargetMode="External"/><Relationship Id="rId30" Type="http://schemas.openxmlformats.org/officeDocument/2006/relationships/hyperlink" Target="https://www.ebay.com/usr/silvermapleapparel" TargetMode="External"/><Relationship Id="rId31" Type="http://schemas.openxmlformats.org/officeDocument/2006/relationships/hyperlink" Target="https://www.ebay.com/itm/277292144962" TargetMode="External"/><Relationship Id="rId32" Type="http://schemas.openxmlformats.org/officeDocument/2006/relationships/hyperlink" Target="https://www.ebay.com/usr/bullseye_deals" TargetMode="External"/><Relationship Id="rId33" Type="http://schemas.openxmlformats.org/officeDocument/2006/relationships/hyperlink" Target="https://www.ebay.com/itm/205642585984" TargetMode="External"/><Relationship Id="rId34" Type="http://schemas.openxmlformats.org/officeDocument/2006/relationships/hyperlink" Target="https://www.ebay.com/usr/jmct6679c2" TargetMode="External"/><Relationship Id="rId35" Type="http://schemas.openxmlformats.org/officeDocument/2006/relationships/hyperlink" Target="https://www.ebay.com/itm/195851163904" TargetMode="External"/><Relationship Id="rId36" Type="http://schemas.openxmlformats.org/officeDocument/2006/relationships/hyperlink" Target="https://www.ebay.com/usr/itsworthmore" TargetMode="External"/><Relationship Id="rId37" Type="http://schemas.openxmlformats.org/officeDocument/2006/relationships/hyperlink" Target="https://www.ebay.com/itm/277295106223" TargetMode="External"/><Relationship Id="rId38" Type="http://schemas.openxmlformats.org/officeDocument/2006/relationships/hyperlink" Target="https://www.ebay.com/usr/thriftfindsvintage" TargetMode="External"/><Relationship Id="rId39" Type="http://schemas.openxmlformats.org/officeDocument/2006/relationships/hyperlink" Target="https://www.ebay.com/itm/235044263157" TargetMode="External"/><Relationship Id="rId40" Type="http://schemas.openxmlformats.org/officeDocument/2006/relationships/hyperlink" Target="https://www.ebay.com/usr/goodealshop" TargetMode="External"/><Relationship Id="rId41" Type="http://schemas.openxmlformats.org/officeDocument/2006/relationships/hyperlink" Target="https://www.ebay.com/itm/257045976910" TargetMode="External"/><Relationship Id="rId42" Type="http://schemas.openxmlformats.org/officeDocument/2006/relationships/hyperlink" Target="https://www.ebay.com/usr/guttermaxx" TargetMode="External"/><Relationship Id="rId43" Type="http://schemas.openxmlformats.org/officeDocument/2006/relationships/hyperlink" Target="https://www.ebay.com/itm/255373044407" TargetMode="External"/><Relationship Id="rId44" Type="http://schemas.openxmlformats.org/officeDocument/2006/relationships/hyperlink" Target="https://www.ebay.com/usr/gadgetpirates" TargetMode="External"/><Relationship Id="rId45" Type="http://schemas.openxmlformats.org/officeDocument/2006/relationships/hyperlink" Target="https://www.ebay.com/itm/365789634604" TargetMode="External"/><Relationship Id="rId46" Type="http://schemas.openxmlformats.org/officeDocument/2006/relationships/hyperlink" Target="https://www.ebay.com/usr/gadgetpirates" TargetMode="External"/><Relationship Id="rId47" Type="http://schemas.openxmlformats.org/officeDocument/2006/relationships/hyperlink" Target="https://www.ebay.com/itm/365792559832" TargetMode="External"/><Relationship Id="rId48" Type="http://schemas.openxmlformats.org/officeDocument/2006/relationships/hyperlink" Target="https://www.ebay.com/usr/preownedtech" TargetMode="External"/><Relationship Id="rId49" Type="http://schemas.openxmlformats.org/officeDocument/2006/relationships/hyperlink" Target="https://www.ebay.com/itm/388820465693" TargetMode="External"/><Relationship Id="rId50" Type="http://schemas.openxmlformats.org/officeDocument/2006/relationships/hyperlink" Target="https://www.ebay.com/usr/garmentgallery" TargetMode="External"/><Relationship Id="rId51" Type="http://schemas.openxmlformats.org/officeDocument/2006/relationships/hyperlink" Target="https://www.ebay.com/itm/388664390138" TargetMode="External"/><Relationship Id="rId52" Type="http://schemas.openxmlformats.org/officeDocument/2006/relationships/hyperlink" Target="https://www.ebay.com/usr/fm_treasures" TargetMode="External"/><Relationship Id="rId53" Type="http://schemas.openxmlformats.org/officeDocument/2006/relationships/hyperlink" Target="https://www.ebay.com/itm/405862887190" TargetMode="External"/><Relationship Id="rId54" Type="http://schemas.openxmlformats.org/officeDocument/2006/relationships/hyperlink" Target="https://www.ebay.com/usr/regencytechnologies" TargetMode="External"/><Relationship Id="rId55" Type="http://schemas.openxmlformats.org/officeDocument/2006/relationships/hyperlink" Target="https://www.ebay.com/itm/197611743563" TargetMode="External"/><Relationship Id="rId56" Type="http://schemas.openxmlformats.org/officeDocument/2006/relationships/hyperlink" Target="https://www.ebay.com/usr/time2envy" TargetMode="External"/><Relationship Id="rId57" Type="http://schemas.openxmlformats.org/officeDocument/2006/relationships/hyperlink" Target="https://www.ebay.com/itm/177334341989" TargetMode="External"/><Relationship Id="rId58" Type="http://schemas.openxmlformats.org/officeDocument/2006/relationships/hyperlink" Target="https://www.ebay.com/usr/jaxson101" TargetMode="External"/><Relationship Id="rId59" Type="http://schemas.openxmlformats.org/officeDocument/2006/relationships/hyperlink" Target="https://www.ebay.com/itm/167705740501" TargetMode="External"/><Relationship Id="rId60" Type="http://schemas.openxmlformats.org/officeDocument/2006/relationships/hyperlink" Target="https://www.ebay.com/usr/itsworthmore" TargetMode="External"/><Relationship Id="rId61" Type="http://schemas.openxmlformats.org/officeDocument/2006/relationships/hyperlink" Target="https://www.ebay.com/itm/286706644170" TargetMode="External"/><Relationship Id="rId62" Type="http://schemas.openxmlformats.org/officeDocument/2006/relationships/hyperlink" Target="https://www.ebay.com/usr/wnbagals" TargetMode="External"/><Relationship Id="rId63" Type="http://schemas.openxmlformats.org/officeDocument/2006/relationships/hyperlink" Target="https://www.ebay.com/itm/127015968560" TargetMode="External"/><Relationship Id="rId64" Type="http://schemas.openxmlformats.org/officeDocument/2006/relationships/hyperlink" Target="https://www.ebay.com/usr/cathyann5266su1" TargetMode="External"/><Relationship Id="rId65" Type="http://schemas.openxmlformats.org/officeDocument/2006/relationships/hyperlink" Target="https://www.ebay.com/itm/226835989825" TargetMode="External"/><Relationship Id="rId66" Type="http://schemas.openxmlformats.org/officeDocument/2006/relationships/hyperlink" Target="https://www.ebay.com/usr/mpandjb" TargetMode="External"/><Relationship Id="rId67" Type="http://schemas.openxmlformats.org/officeDocument/2006/relationships/hyperlink" Target="https://www.ebay.com/itm/204806409952" TargetMode="External"/><Relationship Id="rId68" Type="http://schemas.openxmlformats.org/officeDocument/2006/relationships/hyperlink" Target="https://www.ebay.com/usr/time2envy" TargetMode="External"/><Relationship Id="rId69" Type="http://schemas.openxmlformats.org/officeDocument/2006/relationships/hyperlink" Target="https://order.ebay.com/ord/show?orderId=26-13449-15071&amp;purchaseOrderId=26-1344-915070" TargetMode="External"/><Relationship Id="rId70" Type="http://schemas.openxmlformats.org/officeDocument/2006/relationships/hyperlink" Target="https://www.ebay.com/usr/surplusspectra" TargetMode="External"/><Relationship Id="rId71" Type="http://schemas.openxmlformats.org/officeDocument/2006/relationships/hyperlink" Target="https://www.ebay.com/itm/187502616799" TargetMode="External"/><Relationship Id="rId72" Type="http://schemas.openxmlformats.org/officeDocument/2006/relationships/hyperlink" Target="https://www.ebay.com/usr/surplusspectra" TargetMode="External"/><Relationship Id="rId73" Type="http://schemas.openxmlformats.org/officeDocument/2006/relationships/hyperlink" Target="https://www.ebay.com/itm/187502689237" TargetMode="External"/><Relationship Id="rId74" Type="http://schemas.openxmlformats.org/officeDocument/2006/relationships/hyperlink" Target="https://www.ebay.com/usr/preownedtech" TargetMode="External"/><Relationship Id="rId75" Type="http://schemas.openxmlformats.org/officeDocument/2006/relationships/hyperlink" Target="https://www.ebay.com/itm/388837501364" TargetMode="External"/><Relationship Id="rId76" Type="http://schemas.openxmlformats.org/officeDocument/2006/relationships/hyperlink" Target="https://www.ebay.com/usr/preownedtech" TargetMode="External"/><Relationship Id="rId77" Type="http://schemas.openxmlformats.org/officeDocument/2006/relationships/hyperlink" Target="https://www.ebay.com/itm/306450251816" TargetMode="External"/><Relationship Id="rId78" Type="http://schemas.openxmlformats.org/officeDocument/2006/relationships/hyperlink" Target="https://www.ebay.com/usr/itreplay" TargetMode="External"/><Relationship Id="rId79" Type="http://schemas.openxmlformats.org/officeDocument/2006/relationships/hyperlink" Target="https://www.ebay.com/itm/406132795072" TargetMode="External"/><Relationship Id="rId80" Type="http://schemas.openxmlformats.org/officeDocument/2006/relationships/hyperlink" Target="https://www.ebay.com/usr/backintimewatches" TargetMode="External"/><Relationship Id="rId81" Type="http://schemas.openxmlformats.org/officeDocument/2006/relationships/hyperlink" Target="https://order.ebay.com/ord/show?orderId=06-13480-96340&amp;purchaseOrderId=06-1348-096339" TargetMode="External"/><Relationship Id="rId82" Type="http://schemas.openxmlformats.org/officeDocument/2006/relationships/hyperlink" Target="https://www.ebay.com/usr/preownedtech" TargetMode="External"/><Relationship Id="rId83" Type="http://schemas.openxmlformats.org/officeDocument/2006/relationships/hyperlink" Target="https://www.ebay.com/itm/388841517594" TargetMode="External"/><Relationship Id="rId84" Type="http://schemas.openxmlformats.org/officeDocument/2006/relationships/hyperlink" Target="https://www.ebay.com/usr/verona_trade_house" TargetMode="External"/><Relationship Id="rId85" Type="http://schemas.openxmlformats.org/officeDocument/2006/relationships/hyperlink" Target="https://www.ebay.com/itm/286770351506" TargetMode="External"/><Relationship Id="rId86" Type="http://schemas.openxmlformats.org/officeDocument/2006/relationships/hyperlink" Target="https://www.ebay.com/usr/computerbegone" TargetMode="External"/><Relationship Id="rId87" Type="http://schemas.openxmlformats.org/officeDocument/2006/relationships/hyperlink" Target="https://www.ebay.com/itm/197635151170" TargetMode="External"/><Relationship Id="rId88" Type="http://schemas.openxmlformats.org/officeDocument/2006/relationships/hyperlink" Target="https://www.ebay.com/usr/sorinsolaris" TargetMode="External"/><Relationship Id="rId89" Type="http://schemas.openxmlformats.org/officeDocument/2006/relationships/hyperlink" Target="https://order.ebay.com/ord/show?orderId=12-13476-83967&amp;purchaseOrderId=12-1347-683966" TargetMode="External"/><Relationship Id="rId90" Type="http://schemas.openxmlformats.org/officeDocument/2006/relationships/hyperlink" Target="https://www.ebay.com/usr/epc-texas" TargetMode="External"/><Relationship Id="rId91" Type="http://schemas.openxmlformats.org/officeDocument/2006/relationships/hyperlink" Target="https://www.ebay.com/itm/277334260386" TargetMode="External"/><Relationship Id="rId92" Type="http://schemas.openxmlformats.org/officeDocument/2006/relationships/hyperlink" Target="https://www.ebay.com/usr/soonersoft" TargetMode="External"/><Relationship Id="rId93" Type="http://schemas.openxmlformats.org/officeDocument/2006/relationships/hyperlink" Target="https://www.ebay.com/itm/286764376915" TargetMode="External"/><Relationship Id="rId94" Type="http://schemas.openxmlformats.org/officeDocument/2006/relationships/hyperlink" Target="https://www.ebay.com/usr/mil_243" TargetMode="External"/><Relationship Id="rId95" Type="http://schemas.openxmlformats.org/officeDocument/2006/relationships/hyperlink" Target="https://www.ebay.com/itm/396833485249" TargetMode="External"/><Relationship Id="rId96" Type="http://schemas.openxmlformats.org/officeDocument/2006/relationships/hyperlink" Target="https://www.ebay.com/usr/bullseye_deals" TargetMode="External"/><Relationship Id="rId97" Type="http://schemas.openxmlformats.org/officeDocument/2006/relationships/hyperlink" Target="https://www.ebay.com/itm/187341280873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ebay.com/usr/time2envy" TargetMode="External"/><Relationship Id="rId2" Type="http://schemas.openxmlformats.org/officeDocument/2006/relationships/hyperlink" Target="https://order.ebay.com/ord/show?orderId=06-13531-54924&amp;purchaseOrderId=06-1353-154923" TargetMode="External"/><Relationship Id="rId3" Type="http://schemas.openxmlformats.org/officeDocument/2006/relationships/hyperlink" Target="https://www.ebay.com/usr/thriftonic" TargetMode="External"/><Relationship Id="rId4" Type="http://schemas.openxmlformats.org/officeDocument/2006/relationships/hyperlink" Target="https://www.ebay.com/itm/326745611085" TargetMode="External"/><Relationship Id="rId5" Type="http://schemas.openxmlformats.org/officeDocument/2006/relationships/hyperlink" Target="https://www.ebay.com/usr/preownedtech" TargetMode="External"/><Relationship Id="rId6" Type="http://schemas.openxmlformats.org/officeDocument/2006/relationships/hyperlink" Target="https://www.ebay.com/itm/336149857270" TargetMode="External"/><Relationship Id="rId7" Type="http://schemas.openxmlformats.org/officeDocument/2006/relationships/hyperlink" Target="https://www.ebay.com/usr/smartresale" TargetMode="External"/><Relationship Id="rId8" Type="http://schemas.openxmlformats.org/officeDocument/2006/relationships/hyperlink" Target="https://www.ebay.com/itm/226930914185" TargetMode="External"/><Relationship Id="rId9" Type="http://schemas.openxmlformats.org/officeDocument/2006/relationships/hyperlink" Target="https://www.ebay.com/usr/surplusspectra" TargetMode="External"/><Relationship Id="rId10" Type="http://schemas.openxmlformats.org/officeDocument/2006/relationships/hyperlink" Target="https://www.ebay.com/itm/187415392843" TargetMode="External"/><Relationship Id="rId11" Type="http://schemas.openxmlformats.org/officeDocument/2006/relationships/hyperlink" Target="https://www.ebay.com/usr/eBay" TargetMode="External"/><Relationship Id="rId12" Type="http://schemas.openxmlformats.org/officeDocument/2006/relationships/hyperlink" Target="https://www.ebay.com/itm/287489848108" TargetMode="External"/><Relationship Id="rId13" Type="http://schemas.openxmlformats.org/officeDocument/2006/relationships/hyperlink" Target="https://www.ebay.com/usr/eBay" TargetMode="External"/><Relationship Id="rId14" Type="http://schemas.openxmlformats.org/officeDocument/2006/relationships/hyperlink" Target="https://www.ebay.com/itm/287501526462" TargetMode="External"/><Relationship Id="rId15" Type="http://schemas.openxmlformats.org/officeDocument/2006/relationships/hyperlink" Target="https://www.ebay.com/usr/EBAY" TargetMode="External"/><Relationship Id="rId16" Type="http://schemas.openxmlformats.org/officeDocument/2006/relationships/hyperlink" Target="https://www.ebay.com/itm/158089540431" TargetMode="External"/><Relationship Id="rId17" Type="http://schemas.openxmlformats.org/officeDocument/2006/relationships/hyperlink" Target="https://www.ebay.com/usr/EBAY" TargetMode="External"/><Relationship Id="rId18" Type="http://schemas.openxmlformats.org/officeDocument/2006/relationships/hyperlink" Target="https://order.ebay.com/ord/show?orderId=23-15114-36516" TargetMode="External"/><Relationship Id="rId19" Type="http://schemas.openxmlformats.org/officeDocument/2006/relationships/hyperlink" Target="https://www.ebay.com/usr/eBay" TargetMode="External"/><Relationship Id="rId20" Type="http://schemas.openxmlformats.org/officeDocument/2006/relationships/hyperlink" Target="https://www.ebay.com/itm/158089540431" TargetMode="External"/><Relationship Id="rId21" Type="http://schemas.openxmlformats.org/officeDocument/2006/relationships/hyperlink" Target="https://www.ebay.com/usr/eBay" TargetMode="External"/><Relationship Id="rId22" Type="http://schemas.openxmlformats.org/officeDocument/2006/relationships/hyperlink" Target="https://www.ebay.com/itm/158089540431" TargetMode="External"/><Relationship Id="rId23" Type="http://schemas.openxmlformats.org/officeDocument/2006/relationships/hyperlink" Target="https://www.ebay.com/usr/eBay" TargetMode="External"/><Relationship Id="rId24" Type="http://schemas.openxmlformats.org/officeDocument/2006/relationships/hyperlink" Target="https://www.ebay.com/itm/158177865665" TargetMode="External"/><Relationship Id="rId25" Type="http://schemas.openxmlformats.org/officeDocument/2006/relationships/hyperlink" Target="https://www.ebay.com/usr/eBay" TargetMode="External"/><Relationship Id="rId26" Type="http://schemas.openxmlformats.org/officeDocument/2006/relationships/hyperlink" Target="https://www.ebay.com/itm/800439303550" TargetMode="External"/><Relationship Id="rId27" Type="http://schemas.openxmlformats.org/officeDocument/2006/relationships/hyperlink" Target="https://www.ebay.com/usr/eBay" TargetMode="External"/><Relationship Id="rId28" Type="http://schemas.openxmlformats.org/officeDocument/2006/relationships/hyperlink" Target="https://www.ebay.com/itm/407210863802" TargetMode="External"/><Relationship Id="rId29" Type="http://schemas.openxmlformats.org/officeDocument/2006/relationships/hyperlink" Target="https://www.ebay.com/usr/eBay" TargetMode="External"/><Relationship Id="rId30" Type="http://schemas.openxmlformats.org/officeDocument/2006/relationships/hyperlink" Target="https://www.ebay.com/itm/287476418238" TargetMode="External"/><Relationship Id="rId31" Type="http://schemas.openxmlformats.org/officeDocument/2006/relationships/hyperlink" Target="https://www.ebay.com/usr/eBay" TargetMode="External"/><Relationship Id="rId32" Type="http://schemas.openxmlformats.org/officeDocument/2006/relationships/hyperlink" Target="https://www.ebay.com/itm/178502626593" TargetMode="External"/><Relationship Id="rId33" Type="http://schemas.openxmlformats.org/officeDocument/2006/relationships/hyperlink" Target="https://www.ebay.com/usr/eBay" TargetMode="External"/><Relationship Id="rId34" Type="http://schemas.openxmlformats.org/officeDocument/2006/relationships/hyperlink" Target="https://www.ebay.com/itm/227521698041" TargetMode="External"/><Relationship Id="rId35" Type="http://schemas.openxmlformats.org/officeDocument/2006/relationships/hyperlink" Target="https://www.ebay.com/usr/eBay" TargetMode="External"/><Relationship Id="rId36" Type="http://schemas.openxmlformats.org/officeDocument/2006/relationships/hyperlink" Target="https://www.ebay.com/itm/318660295912" TargetMode="External"/><Relationship Id="rId37" Type="http://schemas.openxmlformats.org/officeDocument/2006/relationships/hyperlink" Target="https://www.ebay.com/usr/eBay" TargetMode="External"/><Relationship Id="rId38" Type="http://schemas.openxmlformats.org/officeDocument/2006/relationships/hyperlink" Target="https://www.ebay.com/itm/137571538192" TargetMode="External"/><Relationship Id="rId39" Type="http://schemas.openxmlformats.org/officeDocument/2006/relationships/hyperlink" Target="https://www.ebay.com/usr/eBay" TargetMode="External"/><Relationship Id="rId40" Type="http://schemas.openxmlformats.org/officeDocument/2006/relationships/hyperlink" Target="https://www.ebay.com/itm/336489007279" TargetMode="External"/><Relationship Id="rId41" Type="http://schemas.openxmlformats.org/officeDocument/2006/relationships/hyperlink" Target="https://www.ebay.com/usr/eBay" TargetMode="External"/><Relationship Id="rId42" Type="http://schemas.openxmlformats.org/officeDocument/2006/relationships/hyperlink" Target="https://www.ebay.com/itm/187105027364" TargetMode="External"/><Relationship Id="rId43" Type="http://schemas.openxmlformats.org/officeDocument/2006/relationships/hyperlink" Target="https://www.ebay.com/usr/eBay" TargetMode="External"/><Relationship Id="rId44" Type="http://schemas.openxmlformats.org/officeDocument/2006/relationships/hyperlink" Target="https://www.ebay.com/itm/800681312541" TargetMode="External"/><Relationship Id="rId45" Type="http://schemas.openxmlformats.org/officeDocument/2006/relationships/hyperlink" Target="https://www.ebay.com/usr/eBay" TargetMode="External"/><Relationship Id="rId46" Type="http://schemas.openxmlformats.org/officeDocument/2006/relationships/hyperlink" Target="https://www.ebay.com/itm/307113398080" TargetMode="External"/><Relationship Id="rId47" Type="http://schemas.openxmlformats.org/officeDocument/2006/relationships/hyperlink" Target="https://www.ebay.com/usr/eBay" TargetMode="External"/><Relationship Id="rId48" Type="http://schemas.openxmlformats.org/officeDocument/2006/relationships/hyperlink" Target="https://www.ebay.com/itm/237068207792" TargetMode="External"/><Relationship Id="rId49" Type="http://schemas.openxmlformats.org/officeDocument/2006/relationships/hyperlink" Target="https://www.ebay.com/usr/eBay" TargetMode="External"/><Relationship Id="rId50" Type="http://schemas.openxmlformats.org/officeDocument/2006/relationships/hyperlink" Target="https://www.ebay.com/itm/158089540431" TargetMode="External"/><Relationship Id="rId51" Type="http://schemas.openxmlformats.org/officeDocument/2006/relationships/hyperlink" Target="https://www.ebay.com/usr/eBay" TargetMode="External"/><Relationship Id="rId52" Type="http://schemas.openxmlformats.org/officeDocument/2006/relationships/hyperlink" Target="https://www.ebay.com/itm/227524792919" TargetMode="External"/><Relationship Id="rId53" Type="http://schemas.openxmlformats.org/officeDocument/2006/relationships/hyperlink" Target="https://www.ebay.com/usr/eBay" TargetMode="External"/><Relationship Id="rId54" Type="http://schemas.openxmlformats.org/officeDocument/2006/relationships/hyperlink" Target="https://www.ebay.com/itm/158089540431" TargetMode="External"/><Relationship Id="rId55" Type="http://schemas.openxmlformats.org/officeDocument/2006/relationships/hyperlink" Target="https://www.ebay.com/usr/eBay" TargetMode="External"/><Relationship Id="rId56" Type="http://schemas.openxmlformats.org/officeDocument/2006/relationships/hyperlink" Target="https://www.ebay.com/itm/158089540431" TargetMode="External"/><Relationship Id="rId57" Type="http://schemas.openxmlformats.org/officeDocument/2006/relationships/hyperlink" Target="https://www.ebay.com/usr/eBay" TargetMode="External"/><Relationship Id="rId58" Type="http://schemas.openxmlformats.org/officeDocument/2006/relationships/hyperlink" Target="https://www.ebay.com/itm/307182860944" TargetMode="External"/><Relationship Id="rId59" Type="http://schemas.openxmlformats.org/officeDocument/2006/relationships/hyperlink" Target="https://www.ebay.com/usr/eBay" TargetMode="External"/><Relationship Id="rId60" Type="http://schemas.openxmlformats.org/officeDocument/2006/relationships/hyperlink" Target="https://www.ebay.com/itm/158292741640" TargetMode="External"/><Relationship Id="rId61" Type="http://schemas.openxmlformats.org/officeDocument/2006/relationships/hyperlink" Target="https://www.ebay.com/usr/eBay" TargetMode="External"/><Relationship Id="rId62" Type="http://schemas.openxmlformats.org/officeDocument/2006/relationships/hyperlink" Target="https://www.ebay.com/itm/267782959324" TargetMode="External"/><Relationship Id="rId63" Type="http://schemas.openxmlformats.org/officeDocument/2006/relationships/hyperlink" Target="https://www.ebay.com/usr/eBay" TargetMode="External"/><Relationship Id="rId64" Type="http://schemas.openxmlformats.org/officeDocument/2006/relationships/hyperlink" Target="https://www.ebay.com/itm/267791193000" TargetMode="External"/><Relationship Id="rId65" Type="http://schemas.openxmlformats.org/officeDocument/2006/relationships/hyperlink" Target="https://www.ebay.com/usr/eBay" TargetMode="External"/><Relationship Id="rId66" Type="http://schemas.openxmlformats.org/officeDocument/2006/relationships/hyperlink" Target="https://www.ebay.com/itm/227517771857" TargetMode="External"/><Relationship Id="rId67" Type="http://schemas.openxmlformats.org/officeDocument/2006/relationships/hyperlink" Target="https://www.ebay.com/usr/eBay" TargetMode="External"/><Relationship Id="rId68" Type="http://schemas.openxmlformats.org/officeDocument/2006/relationships/hyperlink" Target="https://www.ebay.com/itm/306807381298" TargetMode="External"/><Relationship Id="rId69" Type="http://schemas.openxmlformats.org/officeDocument/2006/relationships/hyperlink" Target="https://www.ebay.com/usr/eBay" TargetMode="External"/><Relationship Id="rId70" Type="http://schemas.openxmlformats.org/officeDocument/2006/relationships/hyperlink" Target="https://www.ebay.com/itm/158282541572" TargetMode="External"/><Relationship Id="rId71" Type="http://schemas.openxmlformats.org/officeDocument/2006/relationships/hyperlink" Target="https://www.ebay.com/usr/eBay" TargetMode="External"/><Relationship Id="rId72" Type="http://schemas.openxmlformats.org/officeDocument/2006/relationships/hyperlink" Target="https://www.ebay.com/itm/158292694613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ebay.com/usr/wikiwoo" TargetMode="External"/><Relationship Id="rId2" Type="http://schemas.openxmlformats.org/officeDocument/2006/relationships/hyperlink" Target="https://www.ebay.com/itm/157390945870" TargetMode="External"/><Relationship Id="rId3" Type="http://schemas.openxmlformats.org/officeDocument/2006/relationships/hyperlink" Target="https://www.ebay.com/usr/surplusspectra" TargetMode="External"/><Relationship Id="rId4" Type="http://schemas.openxmlformats.org/officeDocument/2006/relationships/hyperlink" Target="https://www.ebay.com/itm/187679629651" TargetMode="External"/><Relationship Id="rId5" Type="http://schemas.openxmlformats.org/officeDocument/2006/relationships/hyperlink" Target="https://www.ebay.com/usr/itsworthmore" TargetMode="External"/><Relationship Id="rId6" Type="http://schemas.openxmlformats.org/officeDocument/2006/relationships/hyperlink" Target="https://www.ebay.com/itm/286866954598" TargetMode="External"/><Relationship Id="rId7" Type="http://schemas.openxmlformats.org/officeDocument/2006/relationships/hyperlink" Target="https://www.ebay.com/usr/synergyindustrial" TargetMode="External"/><Relationship Id="rId8" Type="http://schemas.openxmlformats.org/officeDocument/2006/relationships/hyperlink" Target="https://www.ebay.com/itm/326774697428" TargetMode="External"/><Relationship Id="rId9" Type="http://schemas.openxmlformats.org/officeDocument/2006/relationships/hyperlink" Target="https://www.ebay.com/usr/itsworthmore" TargetMode="External"/><Relationship Id="rId10" Type="http://schemas.openxmlformats.org/officeDocument/2006/relationships/hyperlink" Target="https://www.ebay.com/itm/277399330609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ebay.com/usr/itsworthmore" TargetMode="External"/><Relationship Id="rId2" Type="http://schemas.openxmlformats.org/officeDocument/2006/relationships/hyperlink" Target="https://www.ebay.com/itm/297689019635" TargetMode="External"/><Relationship Id="rId3" Type="http://schemas.openxmlformats.org/officeDocument/2006/relationships/hyperlink" Target="https://www.ebay.com/usr/wikiwoo" TargetMode="External"/><Relationship Id="rId4" Type="http://schemas.openxmlformats.org/officeDocument/2006/relationships/hyperlink" Target="https://www.ebay.com/itm/187688995374" TargetMode="External"/><Relationship Id="rId5" Type="http://schemas.openxmlformats.org/officeDocument/2006/relationships/hyperlink" Target="https://www.ebay.com/usr/wikiwoo" TargetMode="External"/><Relationship Id="rId6" Type="http://schemas.openxmlformats.org/officeDocument/2006/relationships/hyperlink" Target="https://www.ebay.com/itm/365963382053" TargetMode="External"/><Relationship Id="rId7" Type="http://schemas.openxmlformats.org/officeDocument/2006/relationships/hyperlink" Target="https://www.ebay.com/usr/itsworthmore" TargetMode="External"/><Relationship Id="rId8" Type="http://schemas.openxmlformats.org/officeDocument/2006/relationships/hyperlink" Target="https://www.ebay.com/itm/286924046159" TargetMode="External"/><Relationship Id="rId9" Type="http://schemas.openxmlformats.org/officeDocument/2006/relationships/hyperlink" Target="https://www.ebay.com/usr/itsworthmore" TargetMode="External"/><Relationship Id="rId10" Type="http://schemas.openxmlformats.org/officeDocument/2006/relationships/hyperlink" Target="https://www.ebay.com/itm/297329822559" TargetMode="External"/><Relationship Id="rId11" Type="http://schemas.openxmlformats.org/officeDocument/2006/relationships/hyperlink" Target="https://www.ebay.com/usr/itsworthmore" TargetMode="External"/><Relationship Id="rId12" Type="http://schemas.openxmlformats.org/officeDocument/2006/relationships/hyperlink" Target="https://www.ebay.com/itm/297743863086" TargetMode="External"/><Relationship Id="rId13" Type="http://schemas.openxmlformats.org/officeDocument/2006/relationships/hyperlink" Target="https://www.ebay.com/usr/itsworthmore" TargetMode="External"/><Relationship Id="rId14" Type="http://schemas.openxmlformats.org/officeDocument/2006/relationships/hyperlink" Target="https://www.ebay.com/itm/27749217117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ebay.com/usr/cellfeee" TargetMode="External"/><Relationship Id="rId2" Type="http://schemas.openxmlformats.org/officeDocument/2006/relationships/hyperlink" Target="https://www.ebay.com/itm/256497629590" TargetMode="External"/><Relationship Id="rId3" Type="http://schemas.openxmlformats.org/officeDocument/2006/relationships/hyperlink" Target="https://www.ebay.com/usr/freegeek_portland" TargetMode="External"/><Relationship Id="rId4" Type="http://schemas.openxmlformats.org/officeDocument/2006/relationships/hyperlink" Target="https://www.ebay.com/itm/227115077702" TargetMode="External"/><Relationship Id="rId5" Type="http://schemas.openxmlformats.org/officeDocument/2006/relationships/hyperlink" Target="https://www.ebay.com/usr/smartresale" TargetMode="External"/><Relationship Id="rId6" Type="http://schemas.openxmlformats.org/officeDocument/2006/relationships/hyperlink" Target="https://www.ebay.com/itm/226501360813" TargetMode="External"/><Relationship Id="rId7" Type="http://schemas.openxmlformats.org/officeDocument/2006/relationships/hyperlink" Target="https://www.ebay.com/usr/wikiwoo" TargetMode="External"/><Relationship Id="rId8" Type="http://schemas.openxmlformats.org/officeDocument/2006/relationships/hyperlink" Target="https://www.ebay.com/itm/157513746298" TargetMode="External"/><Relationship Id="rId9" Type="http://schemas.openxmlformats.org/officeDocument/2006/relationships/hyperlink" Target="https://www.ebay.com/usr/thecoolb76" TargetMode="External"/><Relationship Id="rId10" Type="http://schemas.openxmlformats.org/officeDocument/2006/relationships/hyperlink" Target="https://www.ebay.com/itm/336335155248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ebay.com/usr/smartresale" TargetMode="External"/><Relationship Id="rId2" Type="http://schemas.openxmlformats.org/officeDocument/2006/relationships/hyperlink" Target="https://www.ebay.com/itm/226755054955" TargetMode="External"/><Relationship Id="rId3" Type="http://schemas.openxmlformats.org/officeDocument/2006/relationships/hyperlink" Target="https://www.ebay.com/usr/itsworthmore" TargetMode="External"/><Relationship Id="rId4" Type="http://schemas.openxmlformats.org/officeDocument/2006/relationships/hyperlink" Target="https://order.ebay.com/ord/show?orderId=10-14061-20593&amp;purchaseOrderId=10-1406-120592" TargetMode="External"/><Relationship Id="rId5" Type="http://schemas.openxmlformats.org/officeDocument/2006/relationships/hyperlink" Target="https://www.ebay.com/usr/wikiwoo" TargetMode="External"/><Relationship Id="rId6" Type="http://schemas.openxmlformats.org/officeDocument/2006/relationships/hyperlink" Target="https://www.ebay.com/itm/157602793234" TargetMode="External"/><Relationship Id="rId7" Type="http://schemas.openxmlformats.org/officeDocument/2006/relationships/hyperlink" Target="https://www.ebay.com/usr/paymore_matawan" TargetMode="External"/><Relationship Id="rId8" Type="http://schemas.openxmlformats.org/officeDocument/2006/relationships/hyperlink" Target="https://www.ebay.com/itm/406571189422" TargetMode="External"/><Relationship Id="rId9" Type="http://schemas.openxmlformats.org/officeDocument/2006/relationships/hyperlink" Target="https://www.ebay.com/usr/sunflowertattooshop" TargetMode="External"/><Relationship Id="rId10" Type="http://schemas.openxmlformats.org/officeDocument/2006/relationships/hyperlink" Target="https://www.ebay.com/itm/205677501016" TargetMode="External"/><Relationship Id="rId11" Type="http://schemas.openxmlformats.org/officeDocument/2006/relationships/hyperlink" Target="https://www.ebay.com/usr/elite.frames" TargetMode="External"/><Relationship Id="rId12" Type="http://schemas.openxmlformats.org/officeDocument/2006/relationships/hyperlink" Target="https://www.ebay.com/itm/197319785122" TargetMode="External"/><Relationship Id="rId13" Type="http://schemas.openxmlformats.org/officeDocument/2006/relationships/hyperlink" Target="https://www.ebay.com/usr/fego_7859" TargetMode="External"/><Relationship Id="rId14" Type="http://schemas.openxmlformats.org/officeDocument/2006/relationships/hyperlink" Target="https://www.ebay.com/itm/397497037355" TargetMode="External"/><Relationship Id="rId15" Type="http://schemas.openxmlformats.org/officeDocument/2006/relationships/hyperlink" Target="https://www.ebay.com/usr/wikiwoo" TargetMode="External"/><Relationship Id="rId16" Type="http://schemas.openxmlformats.org/officeDocument/2006/relationships/hyperlink" Target="https://www.ebay.com/itm/157602793234" TargetMode="External"/><Relationship Id="rId17" Type="http://schemas.openxmlformats.org/officeDocument/2006/relationships/hyperlink" Target="https://www.ebay.com/usr/networkingninjas" TargetMode="External"/><Relationship Id="rId18" Type="http://schemas.openxmlformats.org/officeDocument/2006/relationships/hyperlink" Target="https://www.ebay.com/itm/187450338028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https://www.ebay.com/usr/wikiwoo" TargetMode="External"/><Relationship Id="rId2" Type="http://schemas.openxmlformats.org/officeDocument/2006/relationships/hyperlink" Target="https://www.ebay.com/itm/157602793234" TargetMode="External"/><Relationship Id="rId3" Type="http://schemas.openxmlformats.org/officeDocument/2006/relationships/hyperlink" Target="https://www.ebay.com/usr/wikiwoo" TargetMode="External"/><Relationship Id="rId4" Type="http://schemas.openxmlformats.org/officeDocument/2006/relationships/hyperlink" Target="https://www.ebay.com/itm/157602793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34"/>
  <sheetViews>
    <sheetView workbookViewId="0" zoomScale="100" zoomScaleNormal="100">
      <selection activeCell="B22" sqref="B22"/>
    </sheetView>
  </sheetViews>
  <sheetFormatPr defaultRowHeight="15" outlineLevelRow="0" outlineLevelCol="0" x14ac:dyDescent="0.25"/>
  <cols>
    <col min="1" max="1" width="9.42578125" customWidth="1"/>
    <col min="2" max="2" width="20" customWidth="1"/>
    <col min="4" max="4" width="27.5703125" customWidth="1"/>
    <col min="5" max="5" width="13" customWidth="1"/>
    <col min="6" max="7" width="30.5703125" customWidth="1"/>
    <col min="8" max="8" width="82" customWidth="1"/>
    <col min="9" max="9" width="24.85546875" customWidth="1"/>
    <col min="10" max="10" width="26.7109375" customWidth="1"/>
    <col min="11" max="11" width="22.85546875" customWidth="1"/>
    <col min="12" max="12" width="17.42578125" customWidth="1"/>
    <col min="13" max="13" width="13.42578125" customWidth="1"/>
    <col min="14" max="14" width="13" customWidth="1"/>
    <col min="15" max="15" width="17.5703125" customWidth="1"/>
    <col min="17" max="17" width="13.5703125" customWidth="1"/>
    <col min="19" max="19" width="21" customWidth="1"/>
  </cols>
  <sheetData>
    <row r="2" ht="15.75" customHeight="1" x14ac:dyDescent="0.25"/>
    <row r="3" ht="29.25" customHeight="1" spans="2:19" x14ac:dyDescent="0.25">
      <c r="B3" s="1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3" t="s">
        <v>13</v>
      </c>
      <c r="S3" s="4" t="s">
        <v>14</v>
      </c>
    </row>
    <row r="4" spans="2:19" x14ac:dyDescent="0.25">
      <c r="B4" s="5" t="s">
        <v>15</v>
      </c>
      <c r="C4" s="6">
        <v>0.5555555555547471</v>
      </c>
      <c r="D4" s="7">
        <v>45756</v>
      </c>
      <c r="E4" s="8" t="s">
        <v>16</v>
      </c>
      <c r="F4" s="9" t="s">
        <v>17</v>
      </c>
      <c r="G4" s="10" t="s">
        <v>17</v>
      </c>
      <c r="H4" s="11" t="s">
        <v>18</v>
      </c>
      <c r="I4" s="12">
        <v>359</v>
      </c>
      <c r="J4" s="13">
        <f t="shared" ref="J4:J12" si="0">I4*$S$4</f>
        <v>1310.35</v>
      </c>
      <c r="K4" s="14">
        <v>1310.35</v>
      </c>
      <c r="L4" s="14"/>
      <c r="M4" s="15">
        <f>K4-J4</f>
        <v>0</v>
      </c>
      <c r="N4" s="16">
        <v>0</v>
      </c>
      <c r="O4" s="17"/>
      <c r="S4" s="8">
        <v>3.65</v>
      </c>
    </row>
    <row r="5" spans="2:19" x14ac:dyDescent="0.25">
      <c r="B5" s="18" t="s">
        <v>19</v>
      </c>
      <c r="C5" s="6">
        <v>0.6361111111109494</v>
      </c>
      <c r="D5" s="19" t="s">
        <v>20</v>
      </c>
      <c r="E5" s="8" t="s">
        <v>21</v>
      </c>
      <c r="F5" s="9" t="s">
        <v>22</v>
      </c>
      <c r="G5" s="10" t="s">
        <v>23</v>
      </c>
      <c r="H5" s="11" t="s">
        <v>24</v>
      </c>
      <c r="I5" s="12">
        <v>112.3</v>
      </c>
      <c r="J5" s="13">
        <f t="shared" si="0"/>
        <v>409.895</v>
      </c>
      <c r="K5" s="14">
        <v>1050</v>
      </c>
      <c r="L5" s="14"/>
      <c r="M5" s="15">
        <f t="shared" ref="M5:M10" si="1">K5-J5</f>
        <v>640.105</v>
      </c>
      <c r="N5" s="16">
        <v>0</v>
      </c>
      <c r="O5" s="17"/>
      <c r="S5" s="20"/>
    </row>
    <row r="6" spans="2:19" x14ac:dyDescent="0.25">
      <c r="B6" s="5" t="s">
        <v>25</v>
      </c>
      <c r="C6" s="21">
        <v>0.6604166666656965</v>
      </c>
      <c r="D6" s="7" t="s">
        <v>26</v>
      </c>
      <c r="E6" s="8" t="s">
        <v>16</v>
      </c>
      <c r="F6" s="9" t="s">
        <v>27</v>
      </c>
      <c r="G6" s="10" t="s">
        <v>27</v>
      </c>
      <c r="H6" s="11" t="s">
        <v>28</v>
      </c>
      <c r="I6" s="12">
        <v>180</v>
      </c>
      <c r="J6" s="13">
        <f t="shared" si="0"/>
        <v>657</v>
      </c>
      <c r="K6" s="14">
        <v>1250</v>
      </c>
      <c r="L6" s="16"/>
      <c r="M6" s="15">
        <f t="shared" si="1"/>
        <v>593</v>
      </c>
      <c r="N6" s="16">
        <v>0</v>
      </c>
      <c r="O6" s="17"/>
      <c r="S6" s="20"/>
    </row>
    <row r="7" ht="16.5" customHeight="1" spans="2:19" x14ac:dyDescent="0.25">
      <c r="B7" s="5" t="s">
        <v>29</v>
      </c>
      <c r="C7" s="21">
        <v>0.288888888888323</v>
      </c>
      <c r="D7" s="7" t="s">
        <v>30</v>
      </c>
      <c r="E7" s="8" t="s">
        <v>16</v>
      </c>
      <c r="F7" s="9" t="s">
        <v>31</v>
      </c>
      <c r="G7" s="10" t="s">
        <v>31</v>
      </c>
      <c r="H7" s="11" t="s">
        <v>32</v>
      </c>
      <c r="I7" s="12">
        <v>107.1</v>
      </c>
      <c r="J7" s="13">
        <f t="shared" si="0"/>
        <v>390.91499999999996</v>
      </c>
      <c r="K7" s="14"/>
      <c r="L7" s="16"/>
      <c r="M7" s="15">
        <f t="shared" si="1"/>
        <v>-390.91499999999996</v>
      </c>
      <c r="N7" s="16">
        <v>1</v>
      </c>
      <c r="O7" s="17"/>
      <c r="S7" s="22" t="s">
        <v>33</v>
      </c>
    </row>
    <row r="8" ht="21" customHeight="1" spans="2:19" x14ac:dyDescent="0.25">
      <c r="B8" s="5" t="s">
        <v>29</v>
      </c>
      <c r="C8" s="21">
        <v>0.34652777777955635</v>
      </c>
      <c r="D8" s="7" t="s">
        <v>34</v>
      </c>
      <c r="E8" s="8" t="s">
        <v>21</v>
      </c>
      <c r="F8" s="9" t="s">
        <v>35</v>
      </c>
      <c r="G8" s="10" t="s">
        <v>36</v>
      </c>
      <c r="H8" s="11" t="s">
        <v>37</v>
      </c>
      <c r="I8" s="12">
        <v>107.99</v>
      </c>
      <c r="J8" s="13">
        <f t="shared" si="0"/>
        <v>394.1635</v>
      </c>
      <c r="K8" s="14"/>
      <c r="L8" s="16"/>
      <c r="M8" s="15">
        <f t="shared" si="1"/>
        <v>-394.1635</v>
      </c>
      <c r="N8" s="16">
        <v>1</v>
      </c>
      <c r="O8" s="17"/>
      <c r="S8" s="23">
        <f>SUM(J4:J12)</f>
        <v>4311.9275</v>
      </c>
    </row>
    <row r="9" spans="2:19" x14ac:dyDescent="0.25">
      <c r="B9" s="5" t="s">
        <v>29</v>
      </c>
      <c r="C9" s="21">
        <v>0.47083333333284827</v>
      </c>
      <c r="D9" s="7" t="s">
        <v>38</v>
      </c>
      <c r="E9" s="8" t="s">
        <v>16</v>
      </c>
      <c r="F9" s="9">
        <v>289451394806</v>
      </c>
      <c r="G9" s="10" t="s">
        <v>39</v>
      </c>
      <c r="H9" s="11" t="s">
        <v>40</v>
      </c>
      <c r="I9" s="12">
        <v>74.99</v>
      </c>
      <c r="J9" s="13">
        <f t="shared" si="0"/>
        <v>273.71349999999995</v>
      </c>
      <c r="K9" s="14"/>
      <c r="L9" s="16"/>
      <c r="M9" s="15">
        <f t="shared" si="1"/>
        <v>-273.71349999999995</v>
      </c>
      <c r="N9" s="16">
        <v>1</v>
      </c>
      <c r="O9" s="17"/>
      <c r="S9" s="20"/>
    </row>
    <row r="10" spans="2:19" x14ac:dyDescent="0.25">
      <c r="B10" s="5" t="s">
        <v>29</v>
      </c>
      <c r="C10" s="21">
        <v>0.6458333333321207</v>
      </c>
      <c r="D10" s="7" t="s">
        <v>34</v>
      </c>
      <c r="E10" s="8" t="s">
        <v>21</v>
      </c>
      <c r="F10" s="9" t="s">
        <v>41</v>
      </c>
      <c r="G10" s="10" t="s">
        <v>36</v>
      </c>
      <c r="H10" s="11" t="s">
        <v>42</v>
      </c>
      <c r="I10" s="12">
        <v>89.99</v>
      </c>
      <c r="J10" s="13">
        <f t="shared" si="0"/>
        <v>328.46349999999995</v>
      </c>
      <c r="K10" s="14"/>
      <c r="L10" s="16"/>
      <c r="M10" s="15">
        <f t="shared" si="1"/>
        <v>-328.46349999999995</v>
      </c>
      <c r="N10" s="16"/>
      <c r="O10" s="17"/>
      <c r="S10" s="20"/>
    </row>
    <row r="11" spans="2:19" x14ac:dyDescent="0.25">
      <c r="B11" s="5" t="s">
        <v>43</v>
      </c>
      <c r="C11" s="21">
        <v>0.5416666666678793</v>
      </c>
      <c r="D11" s="7" t="s">
        <v>44</v>
      </c>
      <c r="E11" s="8" t="s">
        <v>16</v>
      </c>
      <c r="F11" s="9">
        <v>390122963595</v>
      </c>
      <c r="G11" s="10" t="s">
        <v>45</v>
      </c>
      <c r="H11" s="11" t="s">
        <v>46</v>
      </c>
      <c r="I11" s="12">
        <v>59.99</v>
      </c>
      <c r="J11" s="13">
        <f t="shared" si="0"/>
        <v>218.9635</v>
      </c>
      <c r="K11" s="14"/>
      <c r="L11" s="16"/>
      <c r="M11" s="15"/>
      <c r="N11" s="16"/>
      <c r="O11" s="17"/>
      <c r="S11" s="24" t="s">
        <v>47</v>
      </c>
    </row>
    <row r="12" ht="13.5" customHeight="1" spans="2:19" x14ac:dyDescent="0.25">
      <c r="B12" s="25" t="s">
        <v>48</v>
      </c>
      <c r="C12" s="26">
        <v>0.4305555555547471</v>
      </c>
      <c r="D12" s="27"/>
      <c r="E12" s="27" t="s">
        <v>16</v>
      </c>
      <c r="F12" s="28">
        <v>390138715050</v>
      </c>
      <c r="G12" s="29" t="s">
        <v>49</v>
      </c>
      <c r="H12" s="30" t="s">
        <v>50</v>
      </c>
      <c r="I12" s="31">
        <v>89.99</v>
      </c>
      <c r="J12" s="32">
        <f t="shared" si="0"/>
        <v>328.46349999999995</v>
      </c>
      <c r="K12" s="14"/>
      <c r="L12" s="33"/>
      <c r="M12" s="34"/>
      <c r="N12" s="33"/>
      <c r="O12" s="35"/>
      <c r="S12" s="8"/>
    </row>
    <row r="13" hidden="1" spans="2:19" x14ac:dyDescent="0.25">
      <c r="B13" s="36"/>
      <c r="C13" s="36"/>
      <c r="D13" s="36"/>
      <c r="E13" s="36"/>
      <c r="F13" s="37"/>
      <c r="G13" s="36"/>
      <c r="H13" s="36"/>
      <c r="I13" s="12"/>
      <c r="J13" s="38"/>
      <c r="K13" s="39"/>
      <c r="L13" s="36"/>
      <c r="M13" s="23"/>
      <c r="N13" s="36"/>
      <c r="O13" s="36"/>
      <c r="S13" s="20"/>
    </row>
    <row r="14" spans="2:19" x14ac:dyDescent="0.25">
      <c r="B14" s="36"/>
      <c r="C14" s="36"/>
      <c r="D14" s="36"/>
      <c r="E14" s="36"/>
      <c r="F14" s="37"/>
      <c r="G14" s="36"/>
      <c r="H14" s="36"/>
      <c r="I14" s="12"/>
      <c r="J14" s="38"/>
      <c r="K14" s="39"/>
      <c r="L14" s="36"/>
      <c r="M14" s="23"/>
      <c r="N14" s="36"/>
      <c r="O14" s="36"/>
      <c r="S14" s="20"/>
    </row>
    <row r="15" spans="2:19" x14ac:dyDescent="0.25">
      <c r="B15" s="36"/>
      <c r="C15" s="36"/>
      <c r="D15" s="36"/>
      <c r="E15" s="36"/>
      <c r="F15" s="37"/>
      <c r="G15" s="36"/>
      <c r="H15" s="36"/>
      <c r="I15" s="12"/>
      <c r="J15" s="38"/>
      <c r="K15" s="39"/>
      <c r="L15" s="36"/>
      <c r="M15" s="23"/>
      <c r="N15" s="36"/>
      <c r="O15" s="36"/>
      <c r="S15" s="40" t="s">
        <v>51</v>
      </c>
    </row>
    <row r="16" spans="2:19" x14ac:dyDescent="0.25">
      <c r="B16" s="36"/>
      <c r="C16" s="36"/>
      <c r="D16" s="36"/>
      <c r="E16" s="36"/>
      <c r="F16" s="37"/>
      <c r="G16" s="36"/>
      <c r="H16" s="36"/>
      <c r="I16" s="12"/>
      <c r="J16" s="38"/>
      <c r="K16" s="39"/>
      <c r="L16" s="36"/>
      <c r="M16" s="23"/>
      <c r="N16" s="36"/>
      <c r="O16" s="36"/>
      <c r="S16" s="8"/>
    </row>
    <row r="17" spans="2:15" x14ac:dyDescent="0.25">
      <c r="B17" s="36"/>
      <c r="C17" s="36"/>
      <c r="D17" s="36"/>
      <c r="E17" s="36"/>
      <c r="F17" s="37"/>
      <c r="G17" s="36"/>
      <c r="H17" s="36"/>
      <c r="I17" s="12"/>
      <c r="J17" s="38"/>
      <c r="K17" s="39"/>
      <c r="L17" s="36"/>
      <c r="M17" s="23"/>
      <c r="N17" s="36"/>
      <c r="O17" s="36"/>
    </row>
    <row r="18" spans="2:15" x14ac:dyDescent="0.25">
      <c r="B18" s="36"/>
      <c r="C18" s="36"/>
      <c r="D18" s="36"/>
      <c r="E18" s="36"/>
      <c r="F18" s="37"/>
      <c r="G18" s="36"/>
      <c r="H18" s="36"/>
      <c r="I18" s="12"/>
      <c r="J18" s="38"/>
      <c r="K18" s="39"/>
      <c r="L18" s="36"/>
      <c r="M18" s="23"/>
      <c r="N18" s="36"/>
      <c r="O18" s="36"/>
    </row>
    <row r="19" spans="2:15" x14ac:dyDescent="0.25">
      <c r="B19" s="36"/>
      <c r="C19" s="36"/>
      <c r="D19" s="41"/>
      <c r="E19" s="36"/>
      <c r="F19" s="37"/>
      <c r="G19" s="36"/>
      <c r="H19" s="36"/>
      <c r="I19" s="12"/>
      <c r="J19" s="38"/>
      <c r="K19" s="39"/>
      <c r="L19" s="36"/>
      <c r="M19" s="23"/>
      <c r="N19" s="36"/>
      <c r="O19" s="36"/>
    </row>
    <row r="20" spans="2:15" x14ac:dyDescent="0.25">
      <c r="B20" s="36"/>
      <c r="C20" s="36"/>
      <c r="D20" s="36"/>
      <c r="E20" s="36"/>
      <c r="F20" s="37"/>
      <c r="G20" s="36"/>
      <c r="H20" s="36"/>
      <c r="I20" s="12"/>
      <c r="J20" s="38"/>
      <c r="K20" s="39"/>
      <c r="L20" s="36"/>
      <c r="M20" s="23"/>
      <c r="N20" s="36"/>
      <c r="O20" s="36"/>
    </row>
    <row r="21" spans="2:15" x14ac:dyDescent="0.25">
      <c r="B21" s="36"/>
      <c r="C21" s="36"/>
      <c r="D21" s="36"/>
      <c r="E21" s="36"/>
      <c r="F21" s="37"/>
      <c r="G21" s="36"/>
      <c r="H21" s="36"/>
      <c r="I21" s="12"/>
      <c r="J21" s="38"/>
      <c r="K21" s="39"/>
      <c r="L21" s="36"/>
      <c r="M21" s="23"/>
      <c r="N21" s="36"/>
      <c r="O21" s="36"/>
    </row>
    <row r="22" spans="2:15" x14ac:dyDescent="0.25">
      <c r="B22" s="36"/>
      <c r="C22" s="36"/>
      <c r="D22" s="36"/>
      <c r="E22" s="36"/>
      <c r="F22" s="37"/>
      <c r="G22" s="36"/>
      <c r="H22" s="36"/>
      <c r="I22" s="12"/>
      <c r="J22" s="38"/>
      <c r="K22" s="39"/>
      <c r="L22" s="36"/>
      <c r="M22" s="23"/>
      <c r="N22" s="36"/>
      <c r="O22" s="36"/>
    </row>
    <row r="23" spans="2:15" x14ac:dyDescent="0.25">
      <c r="B23" s="36"/>
      <c r="C23" s="36"/>
      <c r="D23" s="36"/>
      <c r="E23" s="36"/>
      <c r="F23" s="37"/>
      <c r="G23" s="36"/>
      <c r="H23" s="36"/>
      <c r="I23" s="12" t="s">
        <v>52</v>
      </c>
      <c r="J23" s="38"/>
      <c r="K23" s="39"/>
      <c r="L23" s="36"/>
      <c r="M23" s="23"/>
      <c r="N23" s="36"/>
      <c r="O23" s="36"/>
    </row>
    <row r="24" spans="2:15" x14ac:dyDescent="0.25">
      <c r="B24" s="36"/>
      <c r="C24" s="36"/>
      <c r="D24" s="36"/>
      <c r="E24" s="36"/>
      <c r="F24" s="42"/>
      <c r="G24" s="36"/>
      <c r="H24" s="36"/>
      <c r="I24" s="12"/>
      <c r="J24" s="13"/>
      <c r="K24" s="39"/>
      <c r="L24" s="36"/>
      <c r="M24" s="23"/>
      <c r="N24" s="36"/>
      <c r="O24" s="36"/>
    </row>
    <row r="34" spans="17:17" x14ac:dyDescent="0.25">
      <c r="Q34" s="43"/>
    </row>
  </sheetData>
  <hyperlinks>
    <hyperlink ref="G4" r:id="rId1"/>
    <hyperlink ref="G5" r:id="rId2"/>
    <hyperlink ref="G6" r:id="rId3"/>
    <hyperlink ref="H6" r:id="rId4"/>
    <hyperlink ref="G7" r:id="rId5"/>
    <hyperlink ref="G8" r:id="rId6"/>
    <hyperlink ref="G9" r:id="rId7"/>
    <hyperlink ref="G10" r:id="rId8"/>
    <hyperlink ref="G11" r:id="rId9"/>
    <hyperlink ref="G12" r:id="rId1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24"/>
  <sheetViews>
    <sheetView workbookViewId="0" zoomScale="70" zoomScaleNormal="70">
      <selection activeCell="D21" sqref="D21"/>
    </sheetView>
  </sheetViews>
  <sheetFormatPr defaultRowHeight="15" outlineLevelRow="0" outlineLevelCol="0" x14ac:dyDescent="0.25"/>
  <cols>
    <col min="1" max="1" width="9.42578125" customWidth="1"/>
    <col min="2" max="2" width="20" customWidth="1"/>
    <col min="4" max="4" width="27.5703125" customWidth="1"/>
    <col min="5" max="5" width="13" customWidth="1"/>
    <col min="6" max="6" width="27.42578125" customWidth="1"/>
    <col min="7" max="8" width="30.5703125" customWidth="1"/>
    <col min="9" max="9" width="82" customWidth="1"/>
    <col min="10" max="10" width="24.85546875" customWidth="1"/>
    <col min="11" max="11" width="26.7109375" customWidth="1"/>
    <col min="12" max="12" width="22.85546875" customWidth="1"/>
    <col min="13" max="13" width="17.42578125" customWidth="1"/>
    <col min="14" max="14" width="13.42578125" customWidth="1"/>
    <col min="15" max="15" width="13" customWidth="1"/>
    <col min="16" max="16" width="17.5703125" customWidth="1"/>
    <col min="18" max="18" width="13.5703125" customWidth="1"/>
  </cols>
  <sheetData>
    <row r="2" ht="15.75" customHeight="1" x14ac:dyDescent="0.25"/>
    <row r="3" ht="29.25" customHeight="1" spans="2:16" x14ac:dyDescent="0.25">
      <c r="B3" s="1" t="s">
        <v>0</v>
      </c>
      <c r="C3" s="2" t="s">
        <v>1</v>
      </c>
      <c r="D3" s="2" t="s">
        <v>2</v>
      </c>
      <c r="E3" s="2" t="s">
        <v>3</v>
      </c>
      <c r="F3" s="2" t="s">
        <v>53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3" t="s">
        <v>13</v>
      </c>
    </row>
    <row r="4" spans="2:16" x14ac:dyDescent="0.25">
      <c r="B4" s="5" t="s">
        <v>15</v>
      </c>
      <c r="C4" s="6">
        <v>0.5555555555547471</v>
      </c>
      <c r="D4" s="7">
        <v>45756</v>
      </c>
      <c r="E4" s="8" t="s">
        <v>16</v>
      </c>
      <c r="F4" s="9" t="s">
        <v>54</v>
      </c>
      <c r="G4" s="9" t="s">
        <v>17</v>
      </c>
      <c r="H4" s="10" t="s">
        <v>17</v>
      </c>
      <c r="I4" s="11" t="s">
        <v>18</v>
      </c>
      <c r="J4" s="12">
        <v>359</v>
      </c>
      <c r="K4" s="13">
        <f>J4*$B$9</f>
        <v>1310.35</v>
      </c>
      <c r="L4" s="14">
        <v>1310.35</v>
      </c>
      <c r="M4" s="14"/>
      <c r="N4" s="15">
        <f>L4-K4</f>
        <v>0</v>
      </c>
      <c r="O4" s="16">
        <v>0</v>
      </c>
      <c r="P4" s="17"/>
    </row>
    <row r="5" spans="2:16" x14ac:dyDescent="0.25">
      <c r="B5" s="18" t="s">
        <v>19</v>
      </c>
      <c r="C5" s="6">
        <v>0.6361111111109494</v>
      </c>
      <c r="D5" s="19" t="s">
        <v>20</v>
      </c>
      <c r="E5" s="8" t="s">
        <v>21</v>
      </c>
      <c r="F5" s="9" t="s">
        <v>55</v>
      </c>
      <c r="G5" s="9" t="s">
        <v>22</v>
      </c>
      <c r="H5" s="10" t="s">
        <v>23</v>
      </c>
      <c r="I5" s="11" t="s">
        <v>24</v>
      </c>
      <c r="J5" s="12">
        <v>112.3</v>
      </c>
      <c r="K5" s="13">
        <f>J5*$B$9</f>
        <v>409.895</v>
      </c>
      <c r="L5" s="14">
        <v>1050</v>
      </c>
      <c r="M5" s="14"/>
      <c r="N5" s="15">
        <f>L5-K5</f>
        <v>640.105</v>
      </c>
      <c r="O5" s="16">
        <v>0</v>
      </c>
      <c r="P5" s="17"/>
    </row>
    <row r="6" spans="5:6" x14ac:dyDescent="0.25">
      <c r="E6" s="20"/>
      <c r="F6" s="20"/>
    </row>
    <row r="8" spans="2:9" x14ac:dyDescent="0.25">
      <c r="B8" s="4" t="s">
        <v>14</v>
      </c>
      <c r="C8" s="20"/>
      <c r="D8" s="22" t="s">
        <v>33</v>
      </c>
      <c r="E8" s="20"/>
      <c r="F8" s="20"/>
      <c r="G8" s="24" t="s">
        <v>47</v>
      </c>
      <c r="H8" s="20"/>
      <c r="I8" s="40" t="s">
        <v>51</v>
      </c>
    </row>
    <row r="9" spans="2:9" x14ac:dyDescent="0.25">
      <c r="B9" s="8">
        <v>3.65</v>
      </c>
      <c r="C9" s="20"/>
      <c r="D9" s="23">
        <f>SUM(K5+K4)</f>
        <v>1720.245</v>
      </c>
      <c r="E9" s="20"/>
      <c r="F9" s="20"/>
      <c r="G9" s="23">
        <f>SUM(L4:L5)</f>
        <v>2360.35</v>
      </c>
      <c r="H9" s="20"/>
      <c r="I9" s="23">
        <f>SUM(L5-K5)</f>
        <v>640.105</v>
      </c>
    </row>
    <row r="24" spans="18:18" x14ac:dyDescent="0.25">
      <c r="R24" s="43"/>
    </row>
  </sheetData>
  <hyperlinks>
    <hyperlink ref="H4" r:id="rId1"/>
    <hyperlink ref="H5" r:id="rId2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25"/>
  <sheetViews>
    <sheetView workbookViewId="0" zoomScale="70" zoomScaleNormal="70">
      <selection activeCell="I27" sqref="I27"/>
    </sheetView>
  </sheetViews>
  <sheetFormatPr defaultRowHeight="15" outlineLevelRow="0" outlineLevelCol="0" x14ac:dyDescent="0.25"/>
  <cols>
    <col min="1" max="1" width="9.42578125" customWidth="1"/>
    <col min="2" max="2" width="20" customWidth="1"/>
    <col min="4" max="4" width="27.5703125" customWidth="1"/>
    <col min="5" max="5" width="13" customWidth="1"/>
    <col min="6" max="6" width="28.5703125" customWidth="1"/>
    <col min="7" max="8" width="30.5703125" customWidth="1"/>
    <col min="9" max="9" width="82" customWidth="1"/>
    <col min="10" max="10" width="24.85546875" customWidth="1"/>
    <col min="11" max="11" width="26.7109375" customWidth="1"/>
    <col min="12" max="12" width="22.85546875" customWidth="1"/>
    <col min="13" max="13" width="17.42578125" customWidth="1"/>
    <col min="14" max="14" width="13.42578125" customWidth="1"/>
    <col min="15" max="15" width="13" customWidth="1"/>
    <col min="16" max="16" width="17.5703125" customWidth="1"/>
    <col min="18" max="18" width="13.5703125" customWidth="1"/>
  </cols>
  <sheetData>
    <row r="2" ht="15.75" customHeight="1" x14ac:dyDescent="0.25"/>
    <row r="3" ht="29.25" customHeight="1" spans="2:16" x14ac:dyDescent="0.25">
      <c r="B3" s="1" t="s">
        <v>0</v>
      </c>
      <c r="C3" s="2" t="s">
        <v>1</v>
      </c>
      <c r="D3" s="2" t="s">
        <v>2</v>
      </c>
      <c r="E3" s="2" t="s">
        <v>3</v>
      </c>
      <c r="F3" s="2" t="s">
        <v>53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3" t="s">
        <v>13</v>
      </c>
    </row>
    <row r="4" spans="2:16" x14ac:dyDescent="0.25">
      <c r="B4" s="5" t="s">
        <v>25</v>
      </c>
      <c r="C4" s="21">
        <v>0.6604166666656965</v>
      </c>
      <c r="D4" s="7" t="s">
        <v>26</v>
      </c>
      <c r="E4" s="8" t="s">
        <v>16</v>
      </c>
      <c r="F4" s="9" t="s">
        <v>56</v>
      </c>
      <c r="G4" s="9" t="s">
        <v>27</v>
      </c>
      <c r="H4" s="10" t="s">
        <v>27</v>
      </c>
      <c r="I4" s="11" t="s">
        <v>28</v>
      </c>
      <c r="J4" s="12">
        <v>180</v>
      </c>
      <c r="K4" s="13">
        <f>J4*$B$8</f>
        <v>657</v>
      </c>
      <c r="L4" s="14">
        <v>1250</v>
      </c>
      <c r="M4" s="16"/>
      <c r="N4" s="15">
        <f>L4-K4</f>
        <v>593</v>
      </c>
      <c r="O4" s="16">
        <v>0</v>
      </c>
      <c r="P4" s="17"/>
    </row>
    <row r="5" spans="6:6" x14ac:dyDescent="0.25">
      <c r="F5" s="20"/>
    </row>
    <row r="7" spans="2:9" x14ac:dyDescent="0.25">
      <c r="B7" s="4" t="s">
        <v>14</v>
      </c>
      <c r="C7" s="20"/>
      <c r="D7" s="22" t="s">
        <v>33</v>
      </c>
      <c r="E7" s="20"/>
      <c r="F7" s="20"/>
      <c r="G7" s="24" t="s">
        <v>47</v>
      </c>
      <c r="H7" s="20"/>
      <c r="I7" s="40" t="s">
        <v>51</v>
      </c>
    </row>
    <row r="8" spans="2:9" x14ac:dyDescent="0.25">
      <c r="B8" s="8">
        <v>3.65</v>
      </c>
      <c r="C8" s="20"/>
      <c r="D8" s="23">
        <f>SUM(K4)</f>
        <v>657</v>
      </c>
      <c r="E8" s="20"/>
      <c r="F8" s="20"/>
      <c r="G8" s="23">
        <f>SUM(L4)</f>
        <v>1250</v>
      </c>
      <c r="H8" s="20"/>
      <c r="I8" s="23">
        <f>SUM(L4-K4)</f>
        <v>593</v>
      </c>
    </row>
    <row r="9" spans="2:2" x14ac:dyDescent="0.25">
      <c r="B9" s="20"/>
    </row>
    <row r="10" spans="2:2" x14ac:dyDescent="0.25">
      <c r="B10" s="20"/>
    </row>
    <row r="13" spans="2:2" x14ac:dyDescent="0.25">
      <c r="B13" s="20"/>
    </row>
    <row r="14" spans="2:18" x14ac:dyDescent="0.25">
      <c r="B14" s="20"/>
      <c r="R14" s="43"/>
    </row>
    <row r="17" spans="2:2" x14ac:dyDescent="0.25">
      <c r="B17" s="20"/>
    </row>
    <row r="25" spans="9:9" x14ac:dyDescent="0.25">
      <c r="I25" t="s">
        <v>57</v>
      </c>
    </row>
  </sheetData>
  <hyperlinks>
    <hyperlink ref="H4" r:id="rId1"/>
    <hyperlink ref="I4" r:id="rId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X61"/>
  <sheetViews>
    <sheetView workbookViewId="0" zoomScale="70" zoomScaleNormal="70">
      <selection activeCell="C19" sqref="C19"/>
    </sheetView>
  </sheetViews>
  <sheetFormatPr defaultRowHeight="15" outlineLevelRow="0" outlineLevelCol="0" x14ac:dyDescent="0.25"/>
  <cols>
    <col min="1" max="1" width="9.42578125" customWidth="1"/>
    <col min="2" max="2" width="20" customWidth="1"/>
    <col min="3" max="3" width="15" customWidth="1"/>
    <col min="4" max="4" width="27.5703125" customWidth="1"/>
    <col min="5" max="5" width="23.7109375" customWidth="1"/>
    <col min="6" max="6" width="27.5703125" customWidth="1"/>
    <col min="7" max="7" width="20.28515625" customWidth="1"/>
    <col min="8" max="10" width="30.5703125" customWidth="1"/>
    <col min="11" max="11" width="82" customWidth="1"/>
    <col min="12" max="12" width="24.85546875" customWidth="1"/>
    <col min="13" max="13" width="26.7109375" customWidth="1"/>
    <col min="14" max="14" width="22.85546875" customWidth="1"/>
    <col min="15" max="15" width="17.42578125" customWidth="1"/>
    <col min="16" max="17" width="20.85546875" customWidth="1"/>
    <col min="18" max="18" width="20.7109375" customWidth="1"/>
    <col min="19" max="19" width="13" customWidth="1"/>
    <col min="20" max="20" width="18.28515625" customWidth="1"/>
    <col min="21" max="21" width="17.5703125" customWidth="1"/>
    <col min="22" max="22" width="24.7109375" customWidth="1"/>
    <col min="24" max="24" width="21" customWidth="1"/>
  </cols>
  <sheetData>
    <row r="2" ht="15.75" customHeight="1" x14ac:dyDescent="0.25"/>
    <row r="3" ht="29.25" customHeight="1" spans="2:24" x14ac:dyDescent="0.25">
      <c r="B3" s="1" t="s">
        <v>0</v>
      </c>
      <c r="C3" s="2" t="s">
        <v>58</v>
      </c>
      <c r="D3" s="2" t="s">
        <v>2</v>
      </c>
      <c r="E3" s="2" t="s">
        <v>59</v>
      </c>
      <c r="F3" s="2" t="s">
        <v>53</v>
      </c>
      <c r="G3" s="2" t="s">
        <v>3</v>
      </c>
      <c r="H3" s="2" t="s">
        <v>4</v>
      </c>
      <c r="I3" s="2" t="s">
        <v>5</v>
      </c>
      <c r="J3" s="2" t="s">
        <v>60</v>
      </c>
      <c r="K3" s="2" t="s">
        <v>6</v>
      </c>
      <c r="L3" s="2" t="s">
        <v>7</v>
      </c>
      <c r="M3" s="2" t="s">
        <v>61</v>
      </c>
      <c r="N3" s="2" t="s">
        <v>9</v>
      </c>
      <c r="O3" s="2" t="s">
        <v>10</v>
      </c>
      <c r="P3" s="2" t="s">
        <v>62</v>
      </c>
      <c r="Q3" s="2" t="s">
        <v>63</v>
      </c>
      <c r="R3" s="2" t="s">
        <v>11</v>
      </c>
      <c r="S3" s="2" t="s">
        <v>12</v>
      </c>
      <c r="T3" s="44" t="s">
        <v>64</v>
      </c>
      <c r="U3" s="45" t="s">
        <v>13</v>
      </c>
      <c r="V3" s="45" t="s">
        <v>65</v>
      </c>
      <c r="X3" s="4" t="s">
        <v>14</v>
      </c>
    </row>
    <row r="4" spans="2:24" x14ac:dyDescent="0.25">
      <c r="B4" s="5" t="s">
        <v>29</v>
      </c>
      <c r="C4" s="21" t="s">
        <v>66</v>
      </c>
      <c r="D4" s="7" t="s">
        <v>30</v>
      </c>
      <c r="E4" s="7" t="s">
        <v>66</v>
      </c>
      <c r="F4" s="8" t="s">
        <v>67</v>
      </c>
      <c r="G4" s="8" t="s">
        <v>16</v>
      </c>
      <c r="H4" s="9" t="s">
        <v>31</v>
      </c>
      <c r="I4" s="10" t="s">
        <v>31</v>
      </c>
      <c r="J4" s="10" t="s">
        <v>68</v>
      </c>
      <c r="K4" s="10" t="s">
        <v>69</v>
      </c>
      <c r="L4" s="12">
        <v>107.1</v>
      </c>
      <c r="M4" s="13">
        <f>L4*$X$4</f>
        <v>390.91499999999996</v>
      </c>
      <c r="N4" s="13">
        <v>1000</v>
      </c>
      <c r="O4" s="13"/>
      <c r="P4" s="13">
        <f>50+127.5</f>
        <v>177.5</v>
      </c>
      <c r="Q4" s="13">
        <f>35*X4</f>
        <v>127.75</v>
      </c>
      <c r="R4" s="15">
        <f>N4-M4-P4</f>
        <v>431.58500000000004</v>
      </c>
      <c r="S4" s="8" t="s">
        <v>66</v>
      </c>
      <c r="T4" s="46">
        <v>1200</v>
      </c>
      <c r="U4" s="8"/>
      <c r="V4" s="36" t="s">
        <v>70</v>
      </c>
      <c r="X4" s="8">
        <v>3.65</v>
      </c>
    </row>
    <row r="5" ht="30" customHeight="1" spans="2:24" x14ac:dyDescent="0.25">
      <c r="B5" s="5" t="s">
        <v>29</v>
      </c>
      <c r="C5" s="21" t="s">
        <v>66</v>
      </c>
      <c r="D5" s="7" t="s">
        <v>34</v>
      </c>
      <c r="E5" s="7" t="s">
        <v>66</v>
      </c>
      <c r="F5" s="8" t="s">
        <v>71</v>
      </c>
      <c r="G5" s="8" t="s">
        <v>21</v>
      </c>
      <c r="H5" s="9" t="s">
        <v>35</v>
      </c>
      <c r="I5" s="10" t="s">
        <v>36</v>
      </c>
      <c r="J5" s="10" t="s">
        <v>68</v>
      </c>
      <c r="K5" s="10" t="s">
        <v>37</v>
      </c>
      <c r="L5" s="12">
        <v>107.99</v>
      </c>
      <c r="M5" s="13">
        <f>L5*$X$4</f>
        <v>394.1635</v>
      </c>
      <c r="N5" s="13">
        <v>1000</v>
      </c>
      <c r="O5" s="13"/>
      <c r="P5" s="13"/>
      <c r="Q5" s="13">
        <f>21*X4</f>
        <v>76.64999999999999</v>
      </c>
      <c r="R5" s="15">
        <f t="shared" ref="R5:R23" si="0">N5-M5-P5</f>
        <v>605.8365</v>
      </c>
      <c r="S5" s="8" t="s">
        <v>66</v>
      </c>
      <c r="T5" s="46">
        <v>1100</v>
      </c>
      <c r="U5" s="8"/>
      <c r="V5" s="36" t="s">
        <v>72</v>
      </c>
      <c r="X5" s="20"/>
    </row>
    <row r="6" ht="30" customHeight="1" spans="2:24" x14ac:dyDescent="0.25">
      <c r="B6" s="5" t="s">
        <v>29</v>
      </c>
      <c r="C6" s="21" t="s">
        <v>66</v>
      </c>
      <c r="D6" s="7" t="s">
        <v>38</v>
      </c>
      <c r="E6" s="7" t="s">
        <v>66</v>
      </c>
      <c r="F6" s="8" t="s">
        <v>73</v>
      </c>
      <c r="G6" s="8" t="s">
        <v>16</v>
      </c>
      <c r="H6" s="9">
        <v>289451394806</v>
      </c>
      <c r="I6" s="10" t="s">
        <v>39</v>
      </c>
      <c r="J6" s="10" t="s">
        <v>68</v>
      </c>
      <c r="K6" s="10" t="s">
        <v>40</v>
      </c>
      <c r="L6" s="12">
        <v>74.99</v>
      </c>
      <c r="M6" s="13">
        <f>L6*$X$4</f>
        <v>273.71349999999995</v>
      </c>
      <c r="N6" s="13">
        <v>1050</v>
      </c>
      <c r="O6" s="13">
        <v>0</v>
      </c>
      <c r="P6" s="13"/>
      <c r="Q6" s="13">
        <f>33*X4</f>
        <v>120.45</v>
      </c>
      <c r="R6" s="15">
        <f t="shared" si="0"/>
        <v>776.2865</v>
      </c>
      <c r="S6" s="8" t="s">
        <v>66</v>
      </c>
      <c r="T6" s="46">
        <v>1050</v>
      </c>
      <c r="U6" s="8"/>
      <c r="V6" s="36" t="s">
        <v>74</v>
      </c>
      <c r="X6" s="20"/>
    </row>
    <row r="7" ht="30" customHeight="1" spans="2:24" x14ac:dyDescent="0.25">
      <c r="B7" s="5" t="s">
        <v>29</v>
      </c>
      <c r="C7" s="21" t="s">
        <v>66</v>
      </c>
      <c r="D7" s="7" t="s">
        <v>34</v>
      </c>
      <c r="E7" s="7" t="s">
        <v>66</v>
      </c>
      <c r="F7" s="8" t="s">
        <v>75</v>
      </c>
      <c r="G7" s="8" t="s">
        <v>21</v>
      </c>
      <c r="H7" s="9" t="s">
        <v>41</v>
      </c>
      <c r="I7" s="10" t="s">
        <v>36</v>
      </c>
      <c r="J7" s="10" t="s">
        <v>68</v>
      </c>
      <c r="K7" s="10" t="s">
        <v>42</v>
      </c>
      <c r="L7" s="12">
        <v>89.99</v>
      </c>
      <c r="M7" s="13">
        <f>L7*$X$4</f>
        <v>328.46349999999995</v>
      </c>
      <c r="N7" s="13">
        <v>1130</v>
      </c>
      <c r="O7" s="13"/>
      <c r="P7" s="13"/>
      <c r="Q7" s="13">
        <f>38.5*X4</f>
        <v>140.525</v>
      </c>
      <c r="R7" s="15">
        <f t="shared" si="0"/>
        <v>801.5365</v>
      </c>
      <c r="S7" s="8" t="s">
        <v>66</v>
      </c>
      <c r="T7" s="46">
        <v>1200</v>
      </c>
      <c r="U7" s="8"/>
      <c r="V7" s="36" t="s">
        <v>72</v>
      </c>
      <c r="X7" s="22" t="s">
        <v>33</v>
      </c>
    </row>
    <row r="8" ht="30" customHeight="1" spans="2:24" x14ac:dyDescent="0.25">
      <c r="B8" s="5" t="s">
        <v>43</v>
      </c>
      <c r="C8" s="21" t="s">
        <v>66</v>
      </c>
      <c r="D8" s="7" t="s">
        <v>44</v>
      </c>
      <c r="E8" s="7" t="s">
        <v>66</v>
      </c>
      <c r="F8" s="8" t="s">
        <v>76</v>
      </c>
      <c r="G8" s="8" t="s">
        <v>16</v>
      </c>
      <c r="H8" s="9">
        <v>390122963595</v>
      </c>
      <c r="I8" s="10" t="s">
        <v>45</v>
      </c>
      <c r="J8" s="10" t="s">
        <v>68</v>
      </c>
      <c r="K8" s="10" t="s">
        <v>46</v>
      </c>
      <c r="L8" s="31">
        <v>59.99</v>
      </c>
      <c r="M8" s="13">
        <f t="shared" ref="M8:M23" si="1">L8*$X$4</f>
        <v>218.9635</v>
      </c>
      <c r="N8" s="13">
        <v>800</v>
      </c>
      <c r="O8" s="13"/>
      <c r="P8" s="13"/>
      <c r="Q8" s="13"/>
      <c r="R8" s="15">
        <f t="shared" si="0"/>
        <v>581.0364999999999</v>
      </c>
      <c r="S8" s="8" t="s">
        <v>66</v>
      </c>
      <c r="T8" s="46">
        <v>1200</v>
      </c>
      <c r="U8" s="8"/>
      <c r="V8" s="36"/>
      <c r="X8" s="23">
        <f>SUM(M4:M23)</f>
        <v>4084.2039999999993</v>
      </c>
    </row>
    <row r="9" ht="30" customHeight="1" spans="2:24" x14ac:dyDescent="0.25">
      <c r="B9" s="25" t="s">
        <v>48</v>
      </c>
      <c r="C9" s="21" t="s">
        <v>66</v>
      </c>
      <c r="D9" s="7" t="s">
        <v>77</v>
      </c>
      <c r="E9" s="7" t="s">
        <v>66</v>
      </c>
      <c r="F9" s="8" t="s">
        <v>78</v>
      </c>
      <c r="G9" s="27" t="s">
        <v>16</v>
      </c>
      <c r="H9" s="9">
        <v>390138715050</v>
      </c>
      <c r="I9" s="10" t="s">
        <v>49</v>
      </c>
      <c r="J9" s="10" t="s">
        <v>68</v>
      </c>
      <c r="K9" s="10" t="s">
        <v>50</v>
      </c>
      <c r="L9" s="31">
        <v>89.99</v>
      </c>
      <c r="M9" s="13">
        <f t="shared" si="1"/>
        <v>328.46349999999995</v>
      </c>
      <c r="N9" s="13">
        <v>1000</v>
      </c>
      <c r="O9" s="13"/>
      <c r="P9" s="13"/>
      <c r="Q9" s="13"/>
      <c r="R9" s="15">
        <f t="shared" si="0"/>
        <v>671.5365</v>
      </c>
      <c r="S9" s="27" t="s">
        <v>66</v>
      </c>
      <c r="T9" s="46">
        <v>950</v>
      </c>
      <c r="U9" s="8"/>
      <c r="V9" s="36"/>
      <c r="X9" s="20"/>
    </row>
    <row r="10" spans="2:24" x14ac:dyDescent="0.25">
      <c r="B10" s="25" t="s">
        <v>79</v>
      </c>
      <c r="C10" s="21" t="s">
        <v>66</v>
      </c>
      <c r="D10" s="7" t="s">
        <v>80</v>
      </c>
      <c r="E10" s="7" t="s">
        <v>66</v>
      </c>
      <c r="F10" s="8" t="s">
        <v>81</v>
      </c>
      <c r="G10" s="27" t="s">
        <v>21</v>
      </c>
      <c r="H10" s="9" t="s">
        <v>82</v>
      </c>
      <c r="I10" s="10" t="s">
        <v>83</v>
      </c>
      <c r="J10" s="10" t="s">
        <v>84</v>
      </c>
      <c r="K10" s="10" t="s">
        <v>85</v>
      </c>
      <c r="L10" s="31">
        <v>34.99</v>
      </c>
      <c r="M10" s="13">
        <f t="shared" si="1"/>
        <v>127.71350000000001</v>
      </c>
      <c r="N10" s="13"/>
      <c r="O10" s="13"/>
      <c r="P10" s="13"/>
      <c r="Q10" s="13"/>
      <c r="R10" s="15">
        <f t="shared" si="0"/>
        <v>-127.71350000000001</v>
      </c>
      <c r="S10" s="8"/>
      <c r="T10" s="46">
        <v>399</v>
      </c>
      <c r="U10" s="36"/>
      <c r="V10" s="36"/>
      <c r="X10" s="20"/>
    </row>
    <row r="11" spans="2:24" x14ac:dyDescent="0.25">
      <c r="B11" s="25" t="s">
        <v>86</v>
      </c>
      <c r="C11" s="21" t="s">
        <v>66</v>
      </c>
      <c r="D11" s="7" t="s">
        <v>80</v>
      </c>
      <c r="E11" s="7" t="s">
        <v>66</v>
      </c>
      <c r="F11" s="8" t="s">
        <v>87</v>
      </c>
      <c r="G11" s="27" t="s">
        <v>16</v>
      </c>
      <c r="H11" s="9" t="s">
        <v>88</v>
      </c>
      <c r="I11" s="10" t="s">
        <v>88</v>
      </c>
      <c r="J11" s="10" t="s">
        <v>68</v>
      </c>
      <c r="K11" s="10" t="s">
        <v>89</v>
      </c>
      <c r="L11" s="31">
        <v>34.99</v>
      </c>
      <c r="M11" s="13">
        <f t="shared" si="1"/>
        <v>127.71350000000001</v>
      </c>
      <c r="N11" s="13">
        <v>500</v>
      </c>
      <c r="O11" s="13"/>
      <c r="P11" s="13"/>
      <c r="Q11" s="13"/>
      <c r="R11" s="15">
        <f t="shared" si="0"/>
        <v>372.2865</v>
      </c>
      <c r="S11" s="8"/>
      <c r="T11" s="46">
        <v>600</v>
      </c>
      <c r="U11" s="36"/>
      <c r="V11" s="36"/>
      <c r="X11" s="24" t="s">
        <v>47</v>
      </c>
    </row>
    <row r="12" spans="2:24" x14ac:dyDescent="0.25">
      <c r="B12" s="25" t="s">
        <v>90</v>
      </c>
      <c r="C12" s="21" t="s">
        <v>66</v>
      </c>
      <c r="D12" s="7" t="s">
        <v>80</v>
      </c>
      <c r="E12" s="7" t="s">
        <v>66</v>
      </c>
      <c r="F12" s="8" t="s">
        <v>91</v>
      </c>
      <c r="G12" s="27" t="s">
        <v>16</v>
      </c>
      <c r="H12" s="9" t="s">
        <v>92</v>
      </c>
      <c r="I12" s="10" t="s">
        <v>92</v>
      </c>
      <c r="J12" s="10" t="s">
        <v>68</v>
      </c>
      <c r="K12" s="10" t="s">
        <v>93</v>
      </c>
      <c r="L12" s="31">
        <v>34.99</v>
      </c>
      <c r="M12" s="13">
        <f t="shared" si="1"/>
        <v>127.71350000000001</v>
      </c>
      <c r="N12" s="13">
        <v>600</v>
      </c>
      <c r="O12" s="13"/>
      <c r="P12" s="13"/>
      <c r="Q12" s="13"/>
      <c r="R12" s="15">
        <f t="shared" si="0"/>
        <v>472.2865</v>
      </c>
      <c r="S12" s="8"/>
      <c r="T12" s="46">
        <v>600</v>
      </c>
      <c r="U12" s="36"/>
      <c r="V12" s="36"/>
      <c r="X12" s="23">
        <f>N24</f>
        <v>11170</v>
      </c>
    </row>
    <row r="13" spans="2:24" x14ac:dyDescent="0.25">
      <c r="B13" s="25" t="s">
        <v>90</v>
      </c>
      <c r="C13" s="21" t="s">
        <v>66</v>
      </c>
      <c r="D13" s="7" t="s">
        <v>94</v>
      </c>
      <c r="E13" s="7" t="s">
        <v>66</v>
      </c>
      <c r="F13" s="8" t="s">
        <v>95</v>
      </c>
      <c r="G13" s="27" t="s">
        <v>16</v>
      </c>
      <c r="H13" s="9" t="s">
        <v>96</v>
      </c>
      <c r="I13" s="47" t="s">
        <v>96</v>
      </c>
      <c r="J13" s="10" t="s">
        <v>68</v>
      </c>
      <c r="K13" s="10" t="s">
        <v>97</v>
      </c>
      <c r="L13" s="31">
        <v>99</v>
      </c>
      <c r="M13" s="13">
        <f t="shared" si="1"/>
        <v>361.34999999999997</v>
      </c>
      <c r="N13" s="13"/>
      <c r="O13" s="13"/>
      <c r="P13" s="13"/>
      <c r="Q13" s="13"/>
      <c r="R13" s="15">
        <f t="shared" si="0"/>
        <v>-361.34999999999997</v>
      </c>
      <c r="S13" s="8"/>
      <c r="T13" s="46">
        <v>1500</v>
      </c>
      <c r="U13" s="36"/>
      <c r="V13" s="36"/>
      <c r="X13" s="20"/>
    </row>
    <row r="14" ht="30" customHeight="1" spans="2:24" x14ac:dyDescent="0.25">
      <c r="B14" s="25" t="s">
        <v>98</v>
      </c>
      <c r="C14" s="21" t="s">
        <v>66</v>
      </c>
      <c r="D14" s="7" t="s">
        <v>80</v>
      </c>
      <c r="E14" s="7" t="s">
        <v>66</v>
      </c>
      <c r="F14" s="8" t="s">
        <v>99</v>
      </c>
      <c r="G14" s="27" t="s">
        <v>16</v>
      </c>
      <c r="H14" s="9" t="s">
        <v>100</v>
      </c>
      <c r="I14" s="47" t="s">
        <v>100</v>
      </c>
      <c r="J14" s="10" t="s">
        <v>68</v>
      </c>
      <c r="K14" s="10" t="s">
        <v>101</v>
      </c>
      <c r="L14" s="31">
        <v>23.99</v>
      </c>
      <c r="M14" s="13">
        <f t="shared" si="1"/>
        <v>87.56349999999999</v>
      </c>
      <c r="N14" s="13">
        <v>400</v>
      </c>
      <c r="O14" s="13"/>
      <c r="P14" s="13">
        <v>86</v>
      </c>
      <c r="Q14" s="13"/>
      <c r="R14" s="15">
        <f t="shared" si="0"/>
        <v>226.43650000000002</v>
      </c>
      <c r="S14" s="8"/>
      <c r="T14" s="46"/>
      <c r="U14" s="36"/>
      <c r="V14" s="36"/>
      <c r="X14" s="20"/>
    </row>
    <row r="15" ht="30" customHeight="1" spans="2:24" x14ac:dyDescent="0.25">
      <c r="B15" s="25" t="s">
        <v>102</v>
      </c>
      <c r="C15" s="26" t="s">
        <v>66</v>
      </c>
      <c r="D15" s="7" t="s">
        <v>103</v>
      </c>
      <c r="E15" s="7" t="s">
        <v>66</v>
      </c>
      <c r="F15" s="8" t="s">
        <v>104</v>
      </c>
      <c r="G15" s="27" t="s">
        <v>16</v>
      </c>
      <c r="H15" s="9" t="s">
        <v>105</v>
      </c>
      <c r="I15" s="47" t="s">
        <v>105</v>
      </c>
      <c r="J15" s="10" t="s">
        <v>68</v>
      </c>
      <c r="K15" s="10" t="s">
        <v>106</v>
      </c>
      <c r="L15" s="31">
        <v>99.99</v>
      </c>
      <c r="M15" s="13">
        <f t="shared" si="1"/>
        <v>364.96349999999995</v>
      </c>
      <c r="N15" s="13">
        <v>1050</v>
      </c>
      <c r="O15" s="13"/>
      <c r="P15" s="13"/>
      <c r="Q15" s="13"/>
      <c r="R15" s="15">
        <f t="shared" si="0"/>
        <v>685.0365</v>
      </c>
      <c r="S15" s="8"/>
      <c r="T15" s="46"/>
      <c r="U15" s="36"/>
      <c r="V15" s="36"/>
      <c r="X15" s="40" t="s">
        <v>51</v>
      </c>
    </row>
    <row r="16" ht="30" customHeight="1" spans="2:24" x14ac:dyDescent="0.25">
      <c r="B16" s="25" t="s">
        <v>107</v>
      </c>
      <c r="C16" s="26" t="s">
        <v>66</v>
      </c>
      <c r="D16" s="7" t="s">
        <v>108</v>
      </c>
      <c r="E16" s="7" t="s">
        <v>66</v>
      </c>
      <c r="F16" s="8" t="s">
        <v>109</v>
      </c>
      <c r="G16" s="27" t="s">
        <v>16</v>
      </c>
      <c r="H16" s="9" t="s">
        <v>110</v>
      </c>
      <c r="I16" s="47" t="s">
        <v>110</v>
      </c>
      <c r="J16" s="10" t="s">
        <v>68</v>
      </c>
      <c r="K16" s="10" t="s">
        <v>111</v>
      </c>
      <c r="L16" s="31">
        <v>124.99</v>
      </c>
      <c r="M16" s="13">
        <f t="shared" si="1"/>
        <v>456.21349999999995</v>
      </c>
      <c r="N16" s="13">
        <v>1540</v>
      </c>
      <c r="O16" s="13"/>
      <c r="P16" s="13"/>
      <c r="Q16" s="13"/>
      <c r="R16" s="15">
        <f t="shared" si="0"/>
        <v>1083.7865000000002</v>
      </c>
      <c r="S16" s="8"/>
      <c r="T16" s="46"/>
      <c r="U16" s="36"/>
      <c r="V16" s="36"/>
      <c r="X16" s="23">
        <f t="array" ref="X16">SUM(N4:N23-M4:M23)-Q24</f>
        <v>6620.421000000001</v>
      </c>
    </row>
    <row r="17" ht="30" customHeight="1" spans="2:22" x14ac:dyDescent="0.25">
      <c r="B17" s="25" t="s">
        <v>107</v>
      </c>
      <c r="C17" s="26" t="s">
        <v>66</v>
      </c>
      <c r="D17" s="7" t="s">
        <v>112</v>
      </c>
      <c r="E17" s="7" t="s">
        <v>66</v>
      </c>
      <c r="F17" s="8" t="s">
        <v>113</v>
      </c>
      <c r="G17" s="27" t="s">
        <v>16</v>
      </c>
      <c r="H17" s="9" t="s">
        <v>114</v>
      </c>
      <c r="I17" s="47" t="s">
        <v>114</v>
      </c>
      <c r="J17" s="10" t="s">
        <v>68</v>
      </c>
      <c r="K17" s="10" t="s">
        <v>115</v>
      </c>
      <c r="L17" s="31">
        <v>42.99</v>
      </c>
      <c r="M17" s="13">
        <f t="shared" si="1"/>
        <v>156.9135</v>
      </c>
      <c r="N17" s="13">
        <v>550</v>
      </c>
      <c r="O17" s="13"/>
      <c r="P17" s="13"/>
      <c r="Q17" s="13"/>
      <c r="R17" s="15">
        <f t="shared" si="0"/>
        <v>393.0865</v>
      </c>
      <c r="S17" s="8"/>
      <c r="T17" s="46"/>
      <c r="U17" s="36"/>
      <c r="V17" s="36"/>
    </row>
    <row r="18" ht="30" customHeight="1" spans="2:22" x14ac:dyDescent="0.25">
      <c r="B18" s="25" t="s">
        <v>107</v>
      </c>
      <c r="C18" s="26" t="s">
        <v>66</v>
      </c>
      <c r="D18" s="7" t="s">
        <v>112</v>
      </c>
      <c r="E18" s="7" t="s">
        <v>66</v>
      </c>
      <c r="F18" s="8" t="s">
        <v>116</v>
      </c>
      <c r="G18" s="27" t="s">
        <v>16</v>
      </c>
      <c r="H18" s="9" t="s">
        <v>117</v>
      </c>
      <c r="I18" s="47" t="s">
        <v>117</v>
      </c>
      <c r="J18" s="10" t="s">
        <v>68</v>
      </c>
      <c r="K18" s="10" t="s">
        <v>118</v>
      </c>
      <c r="L18" s="31">
        <v>42.99</v>
      </c>
      <c r="M18" s="13">
        <f t="shared" si="1"/>
        <v>156.9135</v>
      </c>
      <c r="N18" s="13"/>
      <c r="O18" s="13"/>
      <c r="P18" s="13"/>
      <c r="Q18" s="13"/>
      <c r="R18" s="15">
        <f t="shared" si="0"/>
        <v>-156.9135</v>
      </c>
      <c r="S18" s="8"/>
      <c r="T18" s="46"/>
      <c r="U18" s="36"/>
      <c r="V18" s="36"/>
    </row>
    <row r="19" spans="2:22" x14ac:dyDescent="0.25">
      <c r="B19" s="25" t="s">
        <v>107</v>
      </c>
      <c r="C19" s="26" t="s">
        <v>66</v>
      </c>
      <c r="D19" s="7" t="s">
        <v>119</v>
      </c>
      <c r="E19" s="7" t="s">
        <v>66</v>
      </c>
      <c r="F19" s="8" t="s">
        <v>120</v>
      </c>
      <c r="G19" s="27" t="s">
        <v>16</v>
      </c>
      <c r="H19" s="9" t="s">
        <v>121</v>
      </c>
      <c r="I19" s="47" t="s">
        <v>121</v>
      </c>
      <c r="J19" s="10" t="s">
        <v>68</v>
      </c>
      <c r="K19" s="10" t="s">
        <v>122</v>
      </c>
      <c r="L19" s="31">
        <v>49.99</v>
      </c>
      <c r="M19" s="13">
        <f t="shared" si="1"/>
        <v>182.4635</v>
      </c>
      <c r="N19" s="13">
        <v>550</v>
      </c>
      <c r="O19" s="13"/>
      <c r="P19" s="13">
        <v>120</v>
      </c>
      <c r="Q19" s="13"/>
      <c r="R19" s="15">
        <f t="shared" si="0"/>
        <v>247.5365</v>
      </c>
      <c r="S19" s="8"/>
      <c r="T19" s="46"/>
      <c r="U19" s="36"/>
      <c r="V19" s="36"/>
    </row>
    <row r="20" spans="2:22" x14ac:dyDescent="0.25">
      <c r="B20" s="5"/>
      <c r="C20" s="21"/>
      <c r="D20" s="7"/>
      <c r="E20" s="7"/>
      <c r="F20" s="8"/>
      <c r="G20" s="8"/>
      <c r="H20" s="9"/>
      <c r="I20" s="10"/>
      <c r="J20" s="10"/>
      <c r="K20" s="48"/>
      <c r="L20" s="31"/>
      <c r="M20" s="13">
        <f t="shared" si="1"/>
        <v>0</v>
      </c>
      <c r="N20" s="13"/>
      <c r="O20" s="13"/>
      <c r="P20" s="13"/>
      <c r="Q20" s="13"/>
      <c r="R20" s="15">
        <f t="shared" si="0"/>
        <v>0</v>
      </c>
      <c r="S20" s="8"/>
      <c r="T20" s="46"/>
      <c r="U20" s="36"/>
      <c r="V20" s="36"/>
    </row>
    <row r="21" spans="2:22" x14ac:dyDescent="0.25">
      <c r="B21" s="5"/>
      <c r="C21" s="21"/>
      <c r="D21" s="7"/>
      <c r="E21" s="7"/>
      <c r="F21" s="8"/>
      <c r="G21" s="8"/>
      <c r="H21" s="9"/>
      <c r="I21" s="10"/>
      <c r="J21" s="10"/>
      <c r="K21" s="10"/>
      <c r="L21" s="12"/>
      <c r="M21" s="13">
        <f t="shared" si="1"/>
        <v>0</v>
      </c>
      <c r="N21" s="13"/>
      <c r="O21" s="13"/>
      <c r="P21" s="13"/>
      <c r="Q21" s="13"/>
      <c r="R21" s="15">
        <f t="shared" si="0"/>
        <v>0</v>
      </c>
      <c r="S21" s="8"/>
      <c r="T21" s="46"/>
      <c r="U21" s="36"/>
      <c r="V21" s="36"/>
    </row>
    <row r="22" spans="2:22" x14ac:dyDescent="0.25">
      <c r="B22" s="5"/>
      <c r="C22" s="21"/>
      <c r="D22" s="7"/>
      <c r="E22" s="7"/>
      <c r="F22" s="8"/>
      <c r="G22" s="8"/>
      <c r="H22" s="9"/>
      <c r="I22" s="10"/>
      <c r="J22" s="10"/>
      <c r="K22" s="49"/>
      <c r="L22" s="12"/>
      <c r="M22" s="13">
        <f t="shared" si="1"/>
        <v>0</v>
      </c>
      <c r="N22" s="13"/>
      <c r="O22" s="13"/>
      <c r="P22" s="13"/>
      <c r="Q22" s="13"/>
      <c r="R22" s="15">
        <f t="shared" si="0"/>
        <v>0</v>
      </c>
      <c r="S22" s="8"/>
      <c r="T22" s="46"/>
      <c r="U22" s="36"/>
      <c r="V22" s="36"/>
    </row>
    <row r="23" ht="12.75" customHeight="1" spans="2:22" x14ac:dyDescent="0.25">
      <c r="B23" s="5"/>
      <c r="C23" s="21"/>
      <c r="D23" s="7"/>
      <c r="E23" s="7"/>
      <c r="F23" s="8"/>
      <c r="G23" s="8"/>
      <c r="H23" s="9"/>
      <c r="I23" s="10"/>
      <c r="J23" s="10"/>
      <c r="K23" s="49"/>
      <c r="L23" s="12"/>
      <c r="M23" s="13">
        <f t="shared" si="1"/>
        <v>0</v>
      </c>
      <c r="N23" s="13"/>
      <c r="O23" s="13"/>
      <c r="P23" s="13"/>
      <c r="Q23" s="13"/>
      <c r="R23" s="15">
        <f t="shared" si="0"/>
        <v>0</v>
      </c>
      <c r="S23" s="8"/>
      <c r="T23" s="46"/>
      <c r="U23" s="36"/>
      <c r="V23" s="36"/>
    </row>
    <row r="24" ht="21" customHeight="1" spans="13:18" x14ac:dyDescent="0.25">
      <c r="M24" s="50">
        <f>SUM(M4:M23)</f>
        <v>4084.2039999999993</v>
      </c>
      <c r="N24" s="50">
        <f>SUM(N4:N23)</f>
        <v>11170</v>
      </c>
      <c r="Q24" s="43">
        <f>SUM(Q4:Q23)</f>
        <v>465.375</v>
      </c>
      <c r="R24" s="50">
        <f>SUM(R4:R23)</f>
        <v>6702.296000000001</v>
      </c>
    </row>
    <row r="26" ht="15.75" customHeight="1" spans="2:11" x14ac:dyDescent="0.25">
      <c r="B26" s="51" t="s">
        <v>123</v>
      </c>
      <c r="C26" s="51"/>
      <c r="D26" s="51"/>
      <c r="E26" s="51"/>
      <c r="F26" s="51"/>
      <c r="G26" s="51"/>
      <c r="H26" s="51"/>
      <c r="I26" s="51"/>
      <c r="J26" s="51"/>
      <c r="K26" s="51"/>
    </row>
    <row r="27" ht="29.25" customHeight="1" spans="2:11" x14ac:dyDescent="0.25">
      <c r="B27" s="1" t="s">
        <v>0</v>
      </c>
      <c r="C27" s="1" t="s">
        <v>124</v>
      </c>
      <c r="D27" s="2" t="s">
        <v>61</v>
      </c>
      <c r="E27" s="2" t="s">
        <v>9</v>
      </c>
      <c r="F27" s="2" t="s">
        <v>10</v>
      </c>
      <c r="G27" s="2" t="s">
        <v>62</v>
      </c>
      <c r="H27" s="2" t="s">
        <v>11</v>
      </c>
      <c r="I27" s="2" t="s">
        <v>12</v>
      </c>
      <c r="J27" s="44" t="s">
        <v>64</v>
      </c>
      <c r="K27" s="45" t="s">
        <v>13</v>
      </c>
    </row>
    <row r="28" spans="2:11" x14ac:dyDescent="0.25">
      <c r="B28" s="36"/>
      <c r="C28" s="36"/>
      <c r="D28" s="36"/>
      <c r="E28" s="36"/>
      <c r="F28" s="36"/>
      <c r="G28" s="36"/>
      <c r="H28" s="36"/>
      <c r="I28" s="36"/>
      <c r="J28" s="36"/>
      <c r="K28" s="36"/>
    </row>
    <row r="29" spans="2:11" x14ac:dyDescent="0.25">
      <c r="B29" s="36"/>
      <c r="C29" s="36"/>
      <c r="D29" s="36"/>
      <c r="E29" s="36"/>
      <c r="F29" s="36"/>
      <c r="G29" s="36"/>
      <c r="H29" s="36"/>
      <c r="I29" s="36"/>
      <c r="J29" s="36"/>
      <c r="K29" s="36"/>
    </row>
    <row r="30" spans="2:11" x14ac:dyDescent="0.25">
      <c r="B30" s="36"/>
      <c r="C30" s="36"/>
      <c r="D30" s="36"/>
      <c r="E30" s="36"/>
      <c r="F30" s="36"/>
      <c r="G30" s="36"/>
      <c r="H30" s="36"/>
      <c r="I30" s="36"/>
      <c r="J30" s="36"/>
      <c r="K30" s="36"/>
    </row>
    <row r="31" spans="2:11" x14ac:dyDescent="0.25">
      <c r="B31" s="36"/>
      <c r="C31" s="36"/>
      <c r="D31" s="36"/>
      <c r="E31" s="36"/>
      <c r="F31" s="36"/>
      <c r="G31" s="36"/>
      <c r="H31" s="36"/>
      <c r="I31" s="36"/>
      <c r="J31" s="36"/>
      <c r="K31" s="36"/>
    </row>
    <row r="32" spans="2:11" x14ac:dyDescent="0.25">
      <c r="B32" s="36"/>
      <c r="C32" s="36"/>
      <c r="D32" s="36"/>
      <c r="E32" s="36"/>
      <c r="F32" s="36"/>
      <c r="G32" s="36"/>
      <c r="H32" s="36"/>
      <c r="I32" s="36"/>
      <c r="J32" s="36"/>
      <c r="K32" s="36"/>
    </row>
    <row r="33" spans="2:11" x14ac:dyDescent="0.25">
      <c r="B33" s="36"/>
      <c r="C33" s="36"/>
      <c r="D33" s="36"/>
      <c r="E33" s="36"/>
      <c r="F33" s="36"/>
      <c r="G33" s="36"/>
      <c r="H33" s="36"/>
      <c r="I33" s="36"/>
      <c r="J33" s="36"/>
      <c r="K33" s="36"/>
    </row>
    <row r="34" spans="2:11" x14ac:dyDescent="0.25">
      <c r="B34" s="36"/>
      <c r="C34" s="36"/>
      <c r="D34" s="36"/>
      <c r="E34" s="36"/>
      <c r="F34" s="36"/>
      <c r="G34" s="36"/>
      <c r="H34" s="36"/>
      <c r="I34" s="36"/>
      <c r="J34" s="36"/>
      <c r="K34" s="36"/>
    </row>
    <row r="35" spans="2:11" x14ac:dyDescent="0.25">
      <c r="B35" s="36"/>
      <c r="C35" s="36"/>
      <c r="D35" s="36"/>
      <c r="E35" s="36"/>
      <c r="F35" s="36"/>
      <c r="G35" s="36"/>
      <c r="H35" s="36"/>
      <c r="I35" s="36"/>
      <c r="J35" s="36"/>
      <c r="K35" s="36"/>
    </row>
    <row r="36" spans="2:11" x14ac:dyDescent="0.25">
      <c r="B36" s="36"/>
      <c r="C36" s="36"/>
      <c r="D36" s="36"/>
      <c r="E36" s="36"/>
      <c r="F36" s="36"/>
      <c r="G36" s="36"/>
      <c r="H36" s="36"/>
      <c r="I36" s="36"/>
      <c r="J36" s="36"/>
      <c r="K36" s="36"/>
    </row>
    <row r="39" spans="11:11" x14ac:dyDescent="0.25">
      <c r="K39" s="52"/>
    </row>
    <row r="40" spans="12:12" x14ac:dyDescent="0.25">
      <c r="L40" s="52"/>
    </row>
    <row r="42" spans="11:11" x14ac:dyDescent="0.25">
      <c r="K42" s="53"/>
    </row>
    <row r="43" spans="11:11" x14ac:dyDescent="0.25">
      <c r="K43" s="54"/>
    </row>
    <row r="44" spans="11:11" x14ac:dyDescent="0.25">
      <c r="K44" s="53"/>
    </row>
    <row r="45" spans="10:11" x14ac:dyDescent="0.25">
      <c r="J45" s="52"/>
      <c r="K45" s="54"/>
    </row>
    <row r="46" spans="10:11" x14ac:dyDescent="0.25">
      <c r="J46" s="52"/>
      <c r="K46" s="52"/>
    </row>
    <row r="47" spans="11:11" x14ac:dyDescent="0.25">
      <c r="K47" s="54"/>
    </row>
    <row r="48" spans="11:11" x14ac:dyDescent="0.25">
      <c r="K48" s="52"/>
    </row>
    <row r="49" spans="11:11" x14ac:dyDescent="0.25">
      <c r="K49" s="52"/>
    </row>
    <row r="50" spans="11:11" x14ac:dyDescent="0.25">
      <c r="K50" s="52"/>
    </row>
    <row r="52" spans="11:11" x14ac:dyDescent="0.25">
      <c r="K52" s="53"/>
    </row>
    <row r="53" spans="11:11" x14ac:dyDescent="0.25">
      <c r="K53" s="53"/>
    </row>
    <row r="54" spans="11:11" x14ac:dyDescent="0.25">
      <c r="K54" s="54"/>
    </row>
    <row r="55" spans="11:11" x14ac:dyDescent="0.25">
      <c r="K55" s="52"/>
    </row>
    <row r="59" spans="11:11" x14ac:dyDescent="0.25">
      <c r="K59" s="53"/>
    </row>
    <row r="60" spans="11:11" x14ac:dyDescent="0.25">
      <c r="K60" s="54"/>
    </row>
    <row r="61" spans="11:11" x14ac:dyDescent="0.25">
      <c r="K61" s="52"/>
    </row>
  </sheetData>
  <mergeCells count="1">
    <mergeCell ref="B26:K26"/>
  </mergeCells>
  <hyperlinks>
    <hyperlink ref="I4" r:id="rId1"/>
    <hyperlink ref="J4" r:id="rId2"/>
    <hyperlink ref="K4" r:id="rId3"/>
    <hyperlink ref="I5" r:id="rId4"/>
    <hyperlink ref="J5" r:id="rId5"/>
    <hyperlink ref="K5" r:id="rId6"/>
    <hyperlink ref="I6" r:id="rId7"/>
    <hyperlink ref="J6" r:id="rId8"/>
    <hyperlink ref="K6" r:id="rId9"/>
    <hyperlink ref="I7" r:id="rId10"/>
    <hyperlink ref="J7" r:id="rId11"/>
    <hyperlink ref="K7" r:id="rId12"/>
    <hyperlink ref="I8" r:id="rId13"/>
    <hyperlink ref="J8" r:id="rId14"/>
    <hyperlink ref="K8" r:id="rId15"/>
    <hyperlink ref="I9" r:id="rId16"/>
    <hyperlink ref="J9" r:id="rId17"/>
    <hyperlink ref="K9" r:id="rId18"/>
    <hyperlink ref="I10" r:id="rId19"/>
    <hyperlink ref="J10" r:id="rId20"/>
    <hyperlink ref="K10" r:id="rId21"/>
    <hyperlink ref="I11" r:id="rId22"/>
    <hyperlink ref="J11" r:id="rId23"/>
    <hyperlink ref="K11" r:id="rId24"/>
    <hyperlink ref="I12" r:id="rId25"/>
    <hyperlink ref="J12" r:id="rId26"/>
    <hyperlink ref="K12" r:id="rId27"/>
    <hyperlink ref="I13" r:id="rId28"/>
    <hyperlink ref="J13" r:id="rId29"/>
    <hyperlink ref="K13" r:id="rId30"/>
    <hyperlink ref="I14" r:id="rId31"/>
    <hyperlink ref="J14" r:id="rId32"/>
    <hyperlink ref="K14" r:id="rId33"/>
    <hyperlink ref="I15" r:id="rId34"/>
    <hyperlink ref="J15" r:id="rId35"/>
    <hyperlink ref="K15" r:id="rId36"/>
    <hyperlink ref="I16" r:id="rId37"/>
    <hyperlink ref="J16" r:id="rId38"/>
    <hyperlink ref="K16" r:id="rId39"/>
    <hyperlink ref="I17" r:id="rId40"/>
    <hyperlink ref="J17" r:id="rId41"/>
    <hyperlink ref="K17" r:id="rId42"/>
    <hyperlink ref="I18" r:id="rId43"/>
    <hyperlink ref="J18" r:id="rId44"/>
    <hyperlink ref="K18" r:id="rId45"/>
    <hyperlink ref="I19" r:id="rId46"/>
    <hyperlink ref="J19" r:id="rId47"/>
    <hyperlink ref="K19" r:id="rId4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100"/>
  <sheetViews>
    <sheetView workbookViewId="0" zoomScale="70" zoomScaleNormal="70">
      <selection activeCell="G45" sqref="G45"/>
    </sheetView>
  </sheetViews>
  <sheetFormatPr defaultRowHeight="15" outlineLevelRow="0" outlineLevelCol="0" x14ac:dyDescent="0.25"/>
  <cols>
    <col min="1" max="1" width="9.42578125" customWidth="1"/>
    <col min="2" max="2" width="20" customWidth="1"/>
    <col min="3" max="3" width="15" customWidth="1"/>
    <col min="4" max="4" width="30.140625" customWidth="1"/>
    <col min="5" max="5" width="23.7109375" customWidth="1"/>
    <col min="6" max="6" width="27.5703125" customWidth="1"/>
    <col min="7" max="7" width="33.140625" customWidth="1"/>
    <col min="8" max="8" width="30.5703125" customWidth="1"/>
    <col min="9" max="9" width="58.28515625" customWidth="1"/>
    <col min="10" max="10" width="23.5703125" customWidth="1"/>
    <col min="11" max="11" width="25.85546875" customWidth="1"/>
    <col min="12" max="12" width="24.85546875" customWidth="1"/>
    <col min="13" max="13" width="26.7109375" customWidth="1"/>
    <col min="14" max="14" width="22.85546875" customWidth="1"/>
    <col min="15" max="16" width="17.42578125" customWidth="1"/>
    <col min="17" max="17" width="13.42578125" customWidth="1"/>
    <col min="18" max="18" width="13" customWidth="1"/>
    <col min="19" max="19" width="18.28515625" customWidth="1"/>
    <col min="20" max="20" width="17.5703125" customWidth="1"/>
    <col min="21" max="21" width="19.140625" customWidth="1"/>
    <col min="23" max="23" width="21" customWidth="1"/>
  </cols>
  <sheetData>
    <row r="2" ht="15.75" customHeight="1" x14ac:dyDescent="0.25"/>
    <row r="3" ht="29.25" customHeight="1" spans="2:21" x14ac:dyDescent="0.25">
      <c r="B3" s="1" t="s">
        <v>0</v>
      </c>
      <c r="C3" s="2" t="s">
        <v>58</v>
      </c>
      <c r="D3" s="2" t="s">
        <v>59</v>
      </c>
      <c r="E3" s="2" t="s">
        <v>53</v>
      </c>
      <c r="F3" s="2" t="s">
        <v>3</v>
      </c>
      <c r="G3" s="2" t="s">
        <v>4</v>
      </c>
      <c r="H3" s="2" t="s">
        <v>60</v>
      </c>
      <c r="I3" s="2" t="s">
        <v>6</v>
      </c>
      <c r="J3" s="2" t="s">
        <v>7</v>
      </c>
      <c r="K3" s="2" t="s">
        <v>61</v>
      </c>
      <c r="L3" s="2" t="s">
        <v>9</v>
      </c>
      <c r="M3" s="2" t="s">
        <v>10</v>
      </c>
      <c r="N3" s="2" t="s">
        <v>62</v>
      </c>
      <c r="O3" s="2" t="s">
        <v>11</v>
      </c>
      <c r="P3" s="2" t="s">
        <v>12</v>
      </c>
      <c r="Q3" s="44" t="s">
        <v>64</v>
      </c>
      <c r="R3" s="45" t="s">
        <v>13</v>
      </c>
      <c r="S3" s="45" t="s">
        <v>65</v>
      </c>
      <c r="U3" s="4" t="s">
        <v>14</v>
      </c>
    </row>
    <row r="4" ht="33" customHeight="1" spans="2:21" x14ac:dyDescent="0.25">
      <c r="B4" s="55" t="s">
        <v>125</v>
      </c>
      <c r="C4" s="56" t="s">
        <v>66</v>
      </c>
      <c r="D4" s="55" t="s">
        <v>66</v>
      </c>
      <c r="E4" s="55" t="s">
        <v>126</v>
      </c>
      <c r="F4" s="55" t="s">
        <v>16</v>
      </c>
      <c r="G4" s="57" t="s">
        <v>127</v>
      </c>
      <c r="H4" s="10" t="s">
        <v>68</v>
      </c>
      <c r="I4" s="58" t="s">
        <v>115</v>
      </c>
      <c r="J4" s="12">
        <v>37.99</v>
      </c>
      <c r="K4" s="13">
        <f t="shared" ref="K4:K20" si="0">J4*$U$4</f>
        <v>136.764</v>
      </c>
      <c r="L4" s="13"/>
      <c r="M4" s="13"/>
      <c r="N4" s="13"/>
      <c r="O4" s="15">
        <f t="shared" ref="O4:O20" si="1">L4-K4-N4</f>
        <v>-136.764</v>
      </c>
      <c r="P4" s="8"/>
      <c r="Q4" s="46"/>
      <c r="R4" s="8"/>
      <c r="S4" s="36"/>
      <c r="U4" s="8">
        <v>3.6</v>
      </c>
    </row>
    <row r="5" ht="30" customHeight="1" spans="2:21" x14ac:dyDescent="0.25">
      <c r="B5" s="55" t="s">
        <v>128</v>
      </c>
      <c r="C5" s="59" t="s">
        <v>66</v>
      </c>
      <c r="D5" s="7" t="s">
        <v>66</v>
      </c>
      <c r="E5" s="55" t="s">
        <v>129</v>
      </c>
      <c r="F5" s="55" t="s">
        <v>130</v>
      </c>
      <c r="G5" s="60" t="s">
        <v>131</v>
      </c>
      <c r="H5" s="10" t="s">
        <v>132</v>
      </c>
      <c r="I5" s="58" t="s">
        <v>133</v>
      </c>
      <c r="J5" s="12">
        <v>121.99</v>
      </c>
      <c r="K5" s="13">
        <f t="shared" si="0"/>
        <v>439.164</v>
      </c>
      <c r="L5" s="13"/>
      <c r="M5" s="13"/>
      <c r="N5" s="13"/>
      <c r="O5" s="15">
        <f t="shared" si="1"/>
        <v>-439.164</v>
      </c>
      <c r="P5" s="8"/>
      <c r="Q5" s="46"/>
      <c r="R5" s="8"/>
      <c r="S5" s="36"/>
      <c r="U5" s="20"/>
    </row>
    <row r="6" ht="30" customHeight="1" spans="2:21" x14ac:dyDescent="0.25">
      <c r="B6" s="55" t="s">
        <v>134</v>
      </c>
      <c r="C6" s="59" t="s">
        <v>66</v>
      </c>
      <c r="D6" s="7" t="s">
        <v>66</v>
      </c>
      <c r="E6" s="55" t="s">
        <v>135</v>
      </c>
      <c r="F6" s="8" t="s">
        <v>130</v>
      </c>
      <c r="G6" s="60" t="s">
        <v>136</v>
      </c>
      <c r="H6" s="10" t="s">
        <v>137</v>
      </c>
      <c r="I6" s="58" t="s">
        <v>138</v>
      </c>
      <c r="J6" s="12">
        <v>49.2</v>
      </c>
      <c r="K6" s="13">
        <f t="shared" si="0"/>
        <v>177.12</v>
      </c>
      <c r="L6" s="13"/>
      <c r="M6" s="13"/>
      <c r="N6" s="13"/>
      <c r="O6" s="15">
        <f t="shared" si="1"/>
        <v>-177.12</v>
      </c>
      <c r="P6" s="8"/>
      <c r="Q6" s="46"/>
      <c r="R6" s="8"/>
      <c r="S6" s="36"/>
      <c r="U6" s="20"/>
    </row>
    <row r="7" ht="29.25" customHeight="1" spans="2:21" x14ac:dyDescent="0.25">
      <c r="B7" s="55" t="s">
        <v>139</v>
      </c>
      <c r="C7" s="59" t="s">
        <v>66</v>
      </c>
      <c r="D7" s="7" t="s">
        <v>66</v>
      </c>
      <c r="E7" s="55" t="s">
        <v>140</v>
      </c>
      <c r="F7" s="8" t="s">
        <v>21</v>
      </c>
      <c r="G7" s="61" t="s">
        <v>141</v>
      </c>
      <c r="H7" s="10" t="s">
        <v>142</v>
      </c>
      <c r="I7" s="58" t="s">
        <v>143</v>
      </c>
      <c r="J7" s="12">
        <v>19.51</v>
      </c>
      <c r="K7" s="13">
        <f t="shared" si="0"/>
        <v>70.236</v>
      </c>
      <c r="L7" s="13"/>
      <c r="M7" s="13"/>
      <c r="N7" s="13"/>
      <c r="O7" s="15">
        <f t="shared" si="1"/>
        <v>-70.236</v>
      </c>
      <c r="P7" s="8"/>
      <c r="Q7" s="46"/>
      <c r="R7" s="8"/>
      <c r="S7" s="36"/>
      <c r="U7" s="22"/>
    </row>
    <row r="8" ht="29.25" customHeight="1" spans="2:21" x14ac:dyDescent="0.25">
      <c r="B8" s="55" t="s">
        <v>144</v>
      </c>
      <c r="C8" s="59" t="s">
        <v>66</v>
      </c>
      <c r="D8" s="7" t="s">
        <v>66</v>
      </c>
      <c r="E8" s="55" t="s">
        <v>145</v>
      </c>
      <c r="F8" s="8" t="s">
        <v>16</v>
      </c>
      <c r="G8" s="61" t="s">
        <v>146</v>
      </c>
      <c r="H8" s="10" t="s">
        <v>147</v>
      </c>
      <c r="I8" s="58" t="s">
        <v>148</v>
      </c>
      <c r="J8" s="12">
        <v>84.99</v>
      </c>
      <c r="K8" s="13">
        <f t="shared" si="0"/>
        <v>305.964</v>
      </c>
      <c r="L8" s="13">
        <v>880</v>
      </c>
      <c r="M8" s="13"/>
      <c r="N8" s="13"/>
      <c r="O8" s="15">
        <f t="shared" si="1"/>
        <v>574.0360000000001</v>
      </c>
      <c r="P8" s="8"/>
      <c r="Q8" s="46"/>
      <c r="R8" s="8"/>
      <c r="S8" s="36"/>
      <c r="U8" s="23"/>
    </row>
    <row r="9" ht="30" customHeight="1" spans="2:21" x14ac:dyDescent="0.25">
      <c r="B9" s="61" t="s">
        <v>149</v>
      </c>
      <c r="C9" s="59" t="s">
        <v>66</v>
      </c>
      <c r="D9" s="7" t="s">
        <v>66</v>
      </c>
      <c r="E9" s="55" t="s">
        <v>150</v>
      </c>
      <c r="F9" s="8" t="s">
        <v>21</v>
      </c>
      <c r="G9" s="61" t="s">
        <v>151</v>
      </c>
      <c r="H9" s="10" t="s">
        <v>152</v>
      </c>
      <c r="I9" s="58" t="s">
        <v>153</v>
      </c>
      <c r="J9" s="12">
        <v>10.2</v>
      </c>
      <c r="K9" s="13">
        <f t="shared" si="0"/>
        <v>36.72</v>
      </c>
      <c r="L9" s="13"/>
      <c r="M9" s="13"/>
      <c r="N9" s="13"/>
      <c r="O9" s="15">
        <f t="shared" si="1"/>
        <v>-36.72</v>
      </c>
      <c r="P9" s="8"/>
      <c r="Q9" s="46"/>
      <c r="R9" s="8"/>
      <c r="S9" s="36"/>
      <c r="U9" s="20"/>
    </row>
    <row r="10" ht="30" customHeight="1" spans="2:21" s="62" customFormat="1" x14ac:dyDescent="0.25">
      <c r="B10" s="61" t="s">
        <v>154</v>
      </c>
      <c r="C10" s="59" t="s">
        <v>66</v>
      </c>
      <c r="D10" s="7" t="s">
        <v>66</v>
      </c>
      <c r="E10" s="55" t="s">
        <v>155</v>
      </c>
      <c r="F10" s="8" t="s">
        <v>21</v>
      </c>
      <c r="G10" s="9" t="s">
        <v>156</v>
      </c>
      <c r="H10" s="63" t="s">
        <v>157</v>
      </c>
      <c r="I10" s="58" t="s">
        <v>158</v>
      </c>
      <c r="J10" s="12">
        <v>19.6</v>
      </c>
      <c r="K10" s="39">
        <f t="shared" si="0"/>
        <v>70.56</v>
      </c>
      <c r="L10" s="64"/>
      <c r="M10" s="64"/>
      <c r="N10" s="64"/>
      <c r="O10" s="15">
        <f t="shared" si="1"/>
        <v>-70.56</v>
      </c>
      <c r="P10" s="8"/>
      <c r="Q10" s="65"/>
      <c r="R10" s="66"/>
      <c r="S10" s="66"/>
      <c r="U10" s="20"/>
    </row>
    <row r="11" ht="30" customHeight="1" spans="2:21" x14ac:dyDescent="0.25">
      <c r="B11" s="61" t="s">
        <v>159</v>
      </c>
      <c r="C11" s="59" t="s">
        <v>66</v>
      </c>
      <c r="D11" s="7" t="s">
        <v>66</v>
      </c>
      <c r="E11" s="55" t="s">
        <v>160</v>
      </c>
      <c r="F11" s="8" t="s">
        <v>21</v>
      </c>
      <c r="G11" s="9" t="s">
        <v>156</v>
      </c>
      <c r="H11" s="10" t="s">
        <v>157</v>
      </c>
      <c r="I11" s="58" t="s">
        <v>161</v>
      </c>
      <c r="J11" s="12">
        <v>17.09</v>
      </c>
      <c r="K11" s="13">
        <f t="shared" si="0"/>
        <v>61.524</v>
      </c>
      <c r="L11" s="13"/>
      <c r="M11" s="13"/>
      <c r="N11" s="13"/>
      <c r="O11" s="15">
        <f t="shared" si="1"/>
        <v>-61.524</v>
      </c>
      <c r="P11" s="8"/>
      <c r="Q11" s="46"/>
      <c r="R11" s="36"/>
      <c r="S11" s="36"/>
      <c r="U11" s="24"/>
    </row>
    <row r="12" ht="30" customHeight="1" spans="2:21" x14ac:dyDescent="0.25">
      <c r="B12" s="61" t="s">
        <v>162</v>
      </c>
      <c r="C12" s="59" t="s">
        <v>66</v>
      </c>
      <c r="D12" s="7" t="s">
        <v>66</v>
      </c>
      <c r="E12" s="55" t="s">
        <v>163</v>
      </c>
      <c r="F12" s="8" t="s">
        <v>130</v>
      </c>
      <c r="G12" s="9" t="s">
        <v>164</v>
      </c>
      <c r="H12" s="10" t="s">
        <v>165</v>
      </c>
      <c r="I12" s="58" t="s">
        <v>166</v>
      </c>
      <c r="J12" s="12">
        <v>40</v>
      </c>
      <c r="K12" s="13">
        <f t="shared" si="0"/>
        <v>144</v>
      </c>
      <c r="L12" s="13"/>
      <c r="M12" s="13"/>
      <c r="N12" s="13"/>
      <c r="O12" s="15">
        <f t="shared" si="1"/>
        <v>-144</v>
      </c>
      <c r="P12" s="8"/>
      <c r="Q12" s="46"/>
      <c r="R12" s="36"/>
      <c r="S12" s="36"/>
      <c r="U12" s="23"/>
    </row>
    <row r="13" ht="30" customHeight="1" spans="2:21" x14ac:dyDescent="0.25">
      <c r="B13" s="61" t="s">
        <v>167</v>
      </c>
      <c r="C13" s="59" t="s">
        <v>66</v>
      </c>
      <c r="D13" s="7" t="s">
        <v>66</v>
      </c>
      <c r="E13" s="55" t="s">
        <v>168</v>
      </c>
      <c r="F13" s="8" t="s">
        <v>21</v>
      </c>
      <c r="G13" s="9" t="s">
        <v>169</v>
      </c>
      <c r="H13" s="10" t="s">
        <v>170</v>
      </c>
      <c r="I13" s="58" t="s">
        <v>171</v>
      </c>
      <c r="J13" s="12">
        <v>15.99</v>
      </c>
      <c r="K13" s="13">
        <f t="shared" si="0"/>
        <v>57.564</v>
      </c>
      <c r="L13" s="13"/>
      <c r="M13" s="13"/>
      <c r="N13" s="13"/>
      <c r="O13" s="15">
        <f t="shared" si="1"/>
        <v>-57.564</v>
      </c>
      <c r="P13" s="8"/>
      <c r="Q13" s="46"/>
      <c r="R13" s="36"/>
      <c r="S13" s="36"/>
      <c r="U13" s="20"/>
    </row>
    <row r="14" ht="30" customHeight="1" spans="2:21" x14ac:dyDescent="0.25">
      <c r="B14" s="61" t="s">
        <v>172</v>
      </c>
      <c r="C14" s="59" t="s">
        <v>66</v>
      </c>
      <c r="D14" s="7" t="s">
        <v>66</v>
      </c>
      <c r="E14" s="55" t="s">
        <v>173</v>
      </c>
      <c r="F14" s="8" t="s">
        <v>21</v>
      </c>
      <c r="G14" s="9" t="s">
        <v>174</v>
      </c>
      <c r="H14" s="10" t="s">
        <v>175</v>
      </c>
      <c r="I14" s="58" t="s">
        <v>176</v>
      </c>
      <c r="J14" s="12">
        <v>10.11</v>
      </c>
      <c r="K14" s="13">
        <f t="shared" si="0"/>
        <v>36.396</v>
      </c>
      <c r="L14" s="13"/>
      <c r="M14" s="13"/>
      <c r="N14" s="13"/>
      <c r="O14" s="15">
        <f t="shared" si="1"/>
        <v>-36.396</v>
      </c>
      <c r="P14" s="8"/>
      <c r="Q14" s="46"/>
      <c r="R14" s="36"/>
      <c r="S14" s="36"/>
      <c r="U14" s="20"/>
    </row>
    <row r="15" ht="30" customHeight="1" spans="2:21" x14ac:dyDescent="0.25">
      <c r="B15" s="61" t="s">
        <v>177</v>
      </c>
      <c r="C15" s="59" t="s">
        <v>66</v>
      </c>
      <c r="D15" s="7" t="s">
        <v>66</v>
      </c>
      <c r="E15" s="55" t="s">
        <v>178</v>
      </c>
      <c r="F15" s="8" t="s">
        <v>21</v>
      </c>
      <c r="G15" s="9" t="s">
        <v>174</v>
      </c>
      <c r="H15" s="10" t="s">
        <v>175</v>
      </c>
      <c r="I15" s="58" t="s">
        <v>179</v>
      </c>
      <c r="J15" s="12">
        <v>22.2</v>
      </c>
      <c r="K15" s="13">
        <f t="shared" si="0"/>
        <v>79.92</v>
      </c>
      <c r="L15" s="13"/>
      <c r="M15" s="13"/>
      <c r="N15" s="13"/>
      <c r="O15" s="15">
        <f t="shared" si="1"/>
        <v>-79.92</v>
      </c>
      <c r="P15" s="8"/>
      <c r="Q15" s="46"/>
      <c r="R15" s="36"/>
      <c r="S15" s="36"/>
      <c r="U15" s="40"/>
    </row>
    <row r="16" ht="29.25" customHeight="1" spans="2:21" x14ac:dyDescent="0.25">
      <c r="B16" s="61" t="s">
        <v>180</v>
      </c>
      <c r="C16" s="59" t="s">
        <v>66</v>
      </c>
      <c r="D16" s="7" t="s">
        <v>66</v>
      </c>
      <c r="E16" s="55" t="s">
        <v>181</v>
      </c>
      <c r="F16" s="8" t="s">
        <v>21</v>
      </c>
      <c r="G16" s="9" t="s">
        <v>182</v>
      </c>
      <c r="H16" s="10" t="s">
        <v>183</v>
      </c>
      <c r="I16" s="58" t="s">
        <v>184</v>
      </c>
      <c r="J16" s="12">
        <v>31</v>
      </c>
      <c r="K16" s="13">
        <f t="shared" si="0"/>
        <v>111.60000000000001</v>
      </c>
      <c r="L16" s="13"/>
      <c r="M16" s="13"/>
      <c r="N16" s="13"/>
      <c r="O16" s="15">
        <f t="shared" si="1"/>
        <v>-111.60000000000001</v>
      </c>
      <c r="P16" s="8"/>
      <c r="Q16" s="46"/>
      <c r="R16" s="36"/>
      <c r="S16" s="36"/>
      <c r="U16" s="23"/>
    </row>
    <row r="17" ht="30" customHeight="1" spans="2:19" x14ac:dyDescent="0.25">
      <c r="B17" s="61" t="s">
        <v>185</v>
      </c>
      <c r="C17" s="59" t="s">
        <v>66</v>
      </c>
      <c r="D17" s="7" t="s">
        <v>66</v>
      </c>
      <c r="E17" s="55" t="s">
        <v>186</v>
      </c>
      <c r="F17" s="8" t="s">
        <v>16</v>
      </c>
      <c r="G17" s="61" t="s">
        <v>187</v>
      </c>
      <c r="H17" s="10" t="s">
        <v>188</v>
      </c>
      <c r="I17" s="58" t="s">
        <v>189</v>
      </c>
      <c r="J17" s="12">
        <v>70</v>
      </c>
      <c r="K17" s="13">
        <f t="shared" si="0"/>
        <v>252</v>
      </c>
      <c r="L17" s="13"/>
      <c r="M17" s="13"/>
      <c r="N17" s="13"/>
      <c r="O17" s="15">
        <f t="shared" si="1"/>
        <v>-252</v>
      </c>
      <c r="P17" s="8"/>
      <c r="Q17" s="46"/>
      <c r="R17" s="36"/>
      <c r="S17" s="36"/>
    </row>
    <row r="18" ht="29.25" customHeight="1" spans="2:19" x14ac:dyDescent="0.25">
      <c r="B18" s="61" t="s">
        <v>190</v>
      </c>
      <c r="C18" s="59" t="s">
        <v>66</v>
      </c>
      <c r="D18" s="7" t="s">
        <v>66</v>
      </c>
      <c r="E18" s="55" t="s">
        <v>191</v>
      </c>
      <c r="F18" s="8" t="s">
        <v>16</v>
      </c>
      <c r="G18" s="61" t="s">
        <v>192</v>
      </c>
      <c r="H18" s="10" t="s">
        <v>147</v>
      </c>
      <c r="I18" s="58" t="s">
        <v>193</v>
      </c>
      <c r="J18" s="12">
        <v>33.99</v>
      </c>
      <c r="K18" s="13">
        <f t="shared" si="0"/>
        <v>122.364</v>
      </c>
      <c r="L18" s="13"/>
      <c r="M18" s="13"/>
      <c r="N18" s="13"/>
      <c r="O18" s="15">
        <f t="shared" si="1"/>
        <v>-122.364</v>
      </c>
      <c r="P18" s="8"/>
      <c r="Q18" s="46"/>
      <c r="R18" s="36"/>
      <c r="S18" s="36"/>
    </row>
    <row r="19" ht="30" customHeight="1" spans="2:19" x14ac:dyDescent="0.25">
      <c r="B19" s="61" t="s">
        <v>194</v>
      </c>
      <c r="C19" s="59" t="s">
        <v>66</v>
      </c>
      <c r="D19" s="7" t="s">
        <v>66</v>
      </c>
      <c r="E19" s="55" t="s">
        <v>195</v>
      </c>
      <c r="F19" s="8" t="s">
        <v>16</v>
      </c>
      <c r="G19" s="9" t="s">
        <v>196</v>
      </c>
      <c r="H19" s="10" t="s">
        <v>147</v>
      </c>
      <c r="I19" s="58" t="s">
        <v>197</v>
      </c>
      <c r="J19" s="12">
        <v>56.99</v>
      </c>
      <c r="K19" s="13">
        <f t="shared" si="0"/>
        <v>205.16400000000002</v>
      </c>
      <c r="L19" s="13"/>
      <c r="M19" s="13"/>
      <c r="N19" s="13"/>
      <c r="O19" s="15">
        <f t="shared" si="1"/>
        <v>-205.16400000000002</v>
      </c>
      <c r="P19" s="8"/>
      <c r="Q19" s="46"/>
      <c r="R19" s="36"/>
      <c r="S19" s="36"/>
    </row>
    <row r="20" ht="30" customHeight="1" spans="2:19" x14ac:dyDescent="0.25">
      <c r="B20" s="61" t="s">
        <v>198</v>
      </c>
      <c r="C20" s="59" t="s">
        <v>66</v>
      </c>
      <c r="D20" s="7" t="s">
        <v>66</v>
      </c>
      <c r="E20" s="55" t="s">
        <v>199</v>
      </c>
      <c r="F20" s="8" t="s">
        <v>16</v>
      </c>
      <c r="G20" s="9" t="s">
        <v>200</v>
      </c>
      <c r="H20" s="10" t="s">
        <v>147</v>
      </c>
      <c r="I20" s="58" t="s">
        <v>201</v>
      </c>
      <c r="J20" s="12">
        <v>97.99</v>
      </c>
      <c r="K20" s="13">
        <f t="shared" si="0"/>
        <v>352.764</v>
      </c>
      <c r="L20" s="13"/>
      <c r="M20" s="13"/>
      <c r="N20" s="13"/>
      <c r="O20" s="15">
        <f t="shared" si="1"/>
        <v>-352.764</v>
      </c>
      <c r="P20" s="8"/>
      <c r="Q20" s="46"/>
      <c r="R20" s="36"/>
      <c r="S20" s="36"/>
    </row>
    <row r="21" ht="43.5" customHeight="1" spans="2:19" x14ac:dyDescent="0.25">
      <c r="B21" s="61" t="s">
        <v>202</v>
      </c>
      <c r="C21" s="59" t="s">
        <v>66</v>
      </c>
      <c r="D21" s="7" t="s">
        <v>66</v>
      </c>
      <c r="E21" s="55" t="s">
        <v>203</v>
      </c>
      <c r="F21" s="8" t="s">
        <v>16</v>
      </c>
      <c r="G21" s="9" t="s">
        <v>204</v>
      </c>
      <c r="H21" s="10" t="s">
        <v>147</v>
      </c>
      <c r="I21" s="58" t="s">
        <v>205</v>
      </c>
      <c r="J21" s="12">
        <v>89.99</v>
      </c>
      <c r="K21" s="13">
        <f t="shared" ref="K21:K30" si="2">J21*$U$4</f>
        <v>323.964</v>
      </c>
      <c r="L21" s="13"/>
      <c r="M21" s="13"/>
      <c r="N21" s="13"/>
      <c r="O21" s="15">
        <f t="shared" ref="O21:O32" si="3">L21-K21-N21</f>
        <v>-323.964</v>
      </c>
      <c r="P21" s="8"/>
      <c r="Q21" s="46"/>
      <c r="R21" s="36"/>
      <c r="S21" s="36"/>
    </row>
    <row r="22" ht="43.5" customHeight="1" spans="2:19" x14ac:dyDescent="0.25">
      <c r="B22" s="61" t="s">
        <v>206</v>
      </c>
      <c r="C22" s="59" t="s">
        <v>66</v>
      </c>
      <c r="D22" s="7" t="s">
        <v>66</v>
      </c>
      <c r="E22" s="55" t="s">
        <v>207</v>
      </c>
      <c r="F22" s="8" t="s">
        <v>130</v>
      </c>
      <c r="G22" s="9" t="s">
        <v>208</v>
      </c>
      <c r="H22" s="10" t="s">
        <v>165</v>
      </c>
      <c r="I22" s="58" t="s">
        <v>209</v>
      </c>
      <c r="J22" s="12">
        <v>80</v>
      </c>
      <c r="K22" s="13">
        <f t="shared" si="2"/>
        <v>288</v>
      </c>
      <c r="L22" s="13"/>
      <c r="M22" s="13"/>
      <c r="N22" s="13"/>
      <c r="O22" s="15">
        <f t="shared" si="3"/>
        <v>-288</v>
      </c>
      <c r="P22" s="8"/>
      <c r="Q22" s="46"/>
      <c r="R22" s="36"/>
      <c r="S22" s="36"/>
    </row>
    <row r="23" ht="30" customHeight="1" spans="2:19" x14ac:dyDescent="0.25">
      <c r="B23" s="61" t="s">
        <v>210</v>
      </c>
      <c r="C23" s="59" t="s">
        <v>66</v>
      </c>
      <c r="D23" s="7" t="s">
        <v>66</v>
      </c>
      <c r="E23" s="55" t="s">
        <v>211</v>
      </c>
      <c r="F23" s="8" t="s">
        <v>16</v>
      </c>
      <c r="G23" s="9" t="s">
        <v>212</v>
      </c>
      <c r="H23" s="10" t="s">
        <v>147</v>
      </c>
      <c r="I23" s="58" t="s">
        <v>213</v>
      </c>
      <c r="J23" s="12">
        <v>74.99</v>
      </c>
      <c r="K23" s="13">
        <f t="shared" si="2"/>
        <v>269.964</v>
      </c>
      <c r="L23" s="13"/>
      <c r="M23" s="13"/>
      <c r="N23" s="13"/>
      <c r="O23" s="15">
        <f t="shared" si="3"/>
        <v>-269.964</v>
      </c>
      <c r="P23" s="8"/>
      <c r="Q23" s="46"/>
      <c r="R23" s="36"/>
      <c r="S23" s="36"/>
    </row>
    <row r="24" ht="30" customHeight="1" spans="2:19" x14ac:dyDescent="0.25">
      <c r="B24" s="61" t="s">
        <v>214</v>
      </c>
      <c r="C24" s="59" t="s">
        <v>66</v>
      </c>
      <c r="D24" s="8" t="s">
        <v>66</v>
      </c>
      <c r="E24" s="55" t="s">
        <v>215</v>
      </c>
      <c r="F24" s="8" t="s">
        <v>16</v>
      </c>
      <c r="G24" s="8" t="s">
        <v>216</v>
      </c>
      <c r="H24" s="10" t="s">
        <v>147</v>
      </c>
      <c r="I24" s="58" t="s">
        <v>217</v>
      </c>
      <c r="J24" s="12">
        <v>69.99</v>
      </c>
      <c r="K24" s="13">
        <f t="shared" si="2"/>
        <v>251.964</v>
      </c>
      <c r="L24" s="36"/>
      <c r="M24" s="67"/>
      <c r="N24" s="67"/>
      <c r="O24" s="15">
        <f t="shared" si="3"/>
        <v>-251.964</v>
      </c>
      <c r="P24" s="36"/>
      <c r="Q24" s="67">
        <f>SUM(O4:O23)</f>
        <v>-2661.7519999999995</v>
      </c>
      <c r="R24" s="36"/>
      <c r="S24" s="36"/>
    </row>
    <row r="25" ht="30" customHeight="1" spans="2:19" x14ac:dyDescent="0.25">
      <c r="B25" s="61" t="s">
        <v>218</v>
      </c>
      <c r="C25" s="59" t="s">
        <v>66</v>
      </c>
      <c r="D25" s="8" t="s">
        <v>66</v>
      </c>
      <c r="E25" s="55" t="s">
        <v>219</v>
      </c>
      <c r="F25" s="27" t="s">
        <v>16</v>
      </c>
      <c r="G25" s="68" t="s">
        <v>220</v>
      </c>
      <c r="H25" s="10" t="s">
        <v>147</v>
      </c>
      <c r="I25" s="69" t="s">
        <v>221</v>
      </c>
      <c r="J25" s="12">
        <v>59.99</v>
      </c>
      <c r="K25" s="8">
        <f t="shared" si="2"/>
        <v>215.964</v>
      </c>
      <c r="L25" s="36"/>
      <c r="M25" s="36"/>
      <c r="N25" s="36"/>
      <c r="O25" s="15">
        <f t="shared" si="3"/>
        <v>-215.964</v>
      </c>
      <c r="P25" s="36"/>
      <c r="Q25" s="36"/>
      <c r="R25" s="36"/>
      <c r="S25" s="36"/>
    </row>
    <row r="26" ht="30" customHeight="1" spans="2:19" x14ac:dyDescent="0.25">
      <c r="B26" s="61" t="s">
        <v>222</v>
      </c>
      <c r="C26" s="59" t="s">
        <v>66</v>
      </c>
      <c r="D26" s="8" t="s">
        <v>66</v>
      </c>
      <c r="E26" s="55" t="s">
        <v>223</v>
      </c>
      <c r="F26" s="27" t="s">
        <v>16</v>
      </c>
      <c r="G26" s="68" t="s">
        <v>224</v>
      </c>
      <c r="H26" s="29" t="s">
        <v>147</v>
      </c>
      <c r="I26" s="69" t="s">
        <v>225</v>
      </c>
      <c r="J26" s="12">
        <v>91.99</v>
      </c>
      <c r="K26" s="8">
        <f t="shared" si="2"/>
        <v>331.164</v>
      </c>
      <c r="L26" s="36"/>
      <c r="M26" s="36"/>
      <c r="N26" s="36"/>
      <c r="O26" s="15">
        <f t="shared" si="3"/>
        <v>-331.164</v>
      </c>
      <c r="P26" s="36"/>
      <c r="Q26" s="36"/>
      <c r="R26" s="36"/>
      <c r="S26" s="36"/>
    </row>
    <row r="27" ht="29.25" customHeight="1" spans="2:19" x14ac:dyDescent="0.25">
      <c r="B27" s="61" t="s">
        <v>226</v>
      </c>
      <c r="C27" s="59" t="s">
        <v>66</v>
      </c>
      <c r="D27" s="8" t="s">
        <v>66</v>
      </c>
      <c r="E27" s="55" t="s">
        <v>227</v>
      </c>
      <c r="F27" s="8" t="s">
        <v>21</v>
      </c>
      <c r="G27" s="8" t="s">
        <v>228</v>
      </c>
      <c r="H27" s="10" t="s">
        <v>229</v>
      </c>
      <c r="I27" s="58" t="s">
        <v>230</v>
      </c>
      <c r="J27" s="12">
        <v>32.36</v>
      </c>
      <c r="K27" s="8">
        <f t="shared" si="2"/>
        <v>116.496</v>
      </c>
      <c r="L27" s="36"/>
      <c r="M27" s="36"/>
      <c r="N27" s="36"/>
      <c r="O27" s="15">
        <f t="shared" si="3"/>
        <v>-116.496</v>
      </c>
      <c r="P27" s="36"/>
      <c r="Q27" s="36"/>
      <c r="R27" s="36"/>
      <c r="S27" s="36"/>
    </row>
    <row r="28" ht="30" customHeight="1" spans="2:19" x14ac:dyDescent="0.25">
      <c r="B28" s="61" t="s">
        <v>231</v>
      </c>
      <c r="C28" s="59" t="s">
        <v>66</v>
      </c>
      <c r="D28" s="8" t="s">
        <v>66</v>
      </c>
      <c r="E28" s="55" t="s">
        <v>232</v>
      </c>
      <c r="F28" s="8" t="s">
        <v>130</v>
      </c>
      <c r="G28" s="8" t="s">
        <v>233</v>
      </c>
      <c r="H28" s="70" t="s">
        <v>234</v>
      </c>
      <c r="I28" s="58" t="s">
        <v>235</v>
      </c>
      <c r="J28" s="12">
        <v>84.99</v>
      </c>
      <c r="K28" s="8">
        <f t="shared" si="2"/>
        <v>305.964</v>
      </c>
      <c r="L28" s="36"/>
      <c r="M28" s="36"/>
      <c r="N28" s="36"/>
      <c r="O28" s="15">
        <f t="shared" si="3"/>
        <v>-305.964</v>
      </c>
      <c r="P28" s="36"/>
      <c r="Q28" s="36"/>
      <c r="R28" s="36"/>
      <c r="S28" s="36"/>
    </row>
    <row r="29" ht="30" customHeight="1" spans="2:19" x14ac:dyDescent="0.25">
      <c r="B29" s="61" t="s">
        <v>236</v>
      </c>
      <c r="C29" s="59" t="s">
        <v>66</v>
      </c>
      <c r="D29" s="8" t="s">
        <v>66</v>
      </c>
      <c r="E29" s="55" t="s">
        <v>237</v>
      </c>
      <c r="F29" s="8" t="s">
        <v>16</v>
      </c>
      <c r="G29" s="61" t="s">
        <v>238</v>
      </c>
      <c r="H29" s="10" t="s">
        <v>147</v>
      </c>
      <c r="I29" s="58" t="s">
        <v>239</v>
      </c>
      <c r="J29" s="12">
        <v>39.99</v>
      </c>
      <c r="K29" s="8">
        <f t="shared" si="2"/>
        <v>143.964</v>
      </c>
      <c r="L29" s="36"/>
      <c r="M29" s="36"/>
      <c r="N29" s="36"/>
      <c r="O29" s="15">
        <f t="shared" si="3"/>
        <v>-143.964</v>
      </c>
      <c r="P29" s="36"/>
      <c r="Q29" s="36"/>
      <c r="R29" s="36"/>
      <c r="S29" s="36"/>
    </row>
    <row r="30" ht="30" customHeight="1" spans="2:19" x14ac:dyDescent="0.25">
      <c r="B30" s="61" t="s">
        <v>240</v>
      </c>
      <c r="C30" s="59" t="s">
        <v>66</v>
      </c>
      <c r="D30" s="8" t="s">
        <v>66</v>
      </c>
      <c r="E30" s="55" t="s">
        <v>241</v>
      </c>
      <c r="F30" s="8" t="s">
        <v>16</v>
      </c>
      <c r="G30" s="71" t="s">
        <v>242</v>
      </c>
      <c r="H30" s="10" t="s">
        <v>147</v>
      </c>
      <c r="I30" s="69" t="s">
        <v>243</v>
      </c>
      <c r="J30" s="12">
        <v>47.99</v>
      </c>
      <c r="K30" s="8">
        <f t="shared" si="2"/>
        <v>172.764</v>
      </c>
      <c r="L30" s="36"/>
      <c r="M30" s="36"/>
      <c r="N30" s="36"/>
      <c r="O30" s="15">
        <f t="shared" si="3"/>
        <v>-172.764</v>
      </c>
      <c r="P30" s="36"/>
      <c r="Q30" s="36"/>
      <c r="R30" s="36"/>
      <c r="S30" s="36"/>
    </row>
    <row r="31" spans="2:19" x14ac:dyDescent="0.25">
      <c r="B31" s="61"/>
      <c r="C31" s="36"/>
      <c r="D31" s="36"/>
      <c r="E31" s="61"/>
      <c r="F31" s="8"/>
      <c r="G31" s="36"/>
      <c r="H31" s="36"/>
      <c r="I31" s="36"/>
      <c r="J31" s="12"/>
      <c r="K31" s="36"/>
      <c r="L31" s="36"/>
      <c r="M31" s="36"/>
      <c r="N31" s="36"/>
      <c r="O31" s="15">
        <f t="shared" si="3"/>
        <v>0</v>
      </c>
      <c r="P31" s="36"/>
      <c r="Q31" s="36"/>
      <c r="R31" s="36"/>
      <c r="S31" s="36"/>
    </row>
    <row r="32" spans="2:19" x14ac:dyDescent="0.25">
      <c r="B32" s="61"/>
      <c r="C32" s="36"/>
      <c r="D32" s="36"/>
      <c r="E32" s="61"/>
      <c r="F32" s="8"/>
      <c r="G32" s="36"/>
      <c r="H32" s="36"/>
      <c r="I32" s="36"/>
      <c r="J32" s="12"/>
      <c r="K32" s="36"/>
      <c r="L32" s="36"/>
      <c r="M32" s="36"/>
      <c r="N32" s="36"/>
      <c r="O32" s="15">
        <f t="shared" si="3"/>
        <v>0</v>
      </c>
      <c r="P32" s="36"/>
      <c r="Q32" s="36"/>
      <c r="R32" s="36"/>
      <c r="S32" s="36"/>
    </row>
    <row r="33" spans="2:15" x14ac:dyDescent="0.25">
      <c r="B33" s="72"/>
      <c r="C33" s="73"/>
      <c r="D33" s="73"/>
      <c r="E33" s="72"/>
      <c r="F33" s="74"/>
      <c r="J33" s="75">
        <f>SUM(J4:J32)</f>
        <v>1411.12</v>
      </c>
      <c r="K33" s="43">
        <f>SUM(K4:K32)</f>
        <v>5080.032</v>
      </c>
      <c r="O33" s="43">
        <f>SUM(O4:O32)</f>
        <v>-4200.031999999999</v>
      </c>
    </row>
    <row r="38" spans="13:13" x14ac:dyDescent="0.25">
      <c r="M38" s="53"/>
    </row>
    <row r="39" ht="15.75" customHeight="1" spans="9:14" x14ac:dyDescent="0.25">
      <c r="I39" s="76"/>
      <c r="K39" s="52"/>
      <c r="N39" s="53"/>
    </row>
    <row r="40" spans="9:14" x14ac:dyDescent="0.25">
      <c r="I40" s="54"/>
      <c r="L40" s="52"/>
      <c r="N40" s="54"/>
    </row>
    <row r="41" spans="9:13" x14ac:dyDescent="0.25">
      <c r="I41" s="77"/>
      <c r="L41" s="53"/>
      <c r="M41" s="53"/>
    </row>
    <row r="42" spans="12:13" x14ac:dyDescent="0.25">
      <c r="L42" s="54"/>
      <c r="M42" s="54"/>
    </row>
    <row r="43" spans="10:10" x14ac:dyDescent="0.25">
      <c r="J43" s="53"/>
    </row>
    <row r="44" spans="10:13" x14ac:dyDescent="0.25">
      <c r="J44" s="54"/>
      <c r="M44" s="54"/>
    </row>
    <row r="45" spans="13:13" x14ac:dyDescent="0.25">
      <c r="M45" s="52"/>
    </row>
    <row r="55" spans="11:11" x14ac:dyDescent="0.25">
      <c r="K55" s="52"/>
    </row>
    <row r="57" spans="13:13" x14ac:dyDescent="0.25">
      <c r="M57" s="53"/>
    </row>
    <row r="58" spans="13:13" x14ac:dyDescent="0.25">
      <c r="M58" s="54"/>
    </row>
    <row r="59" spans="11:11" x14ac:dyDescent="0.25">
      <c r="K59" s="53"/>
    </row>
    <row r="60" spans="11:13" x14ac:dyDescent="0.25">
      <c r="K60" s="54"/>
      <c r="M60" s="53"/>
    </row>
    <row r="61" spans="11:13" x14ac:dyDescent="0.25">
      <c r="K61" s="52"/>
      <c r="M61" s="54"/>
    </row>
    <row r="88" spans="12:12" x14ac:dyDescent="0.25">
      <c r="L88" s="53"/>
    </row>
    <row r="89" ht="15.75" customHeight="1" spans="2:11" x14ac:dyDescent="0.25">
      <c r="B89" s="51" t="s">
        <v>123</v>
      </c>
      <c r="C89" s="51"/>
      <c r="D89" s="51"/>
      <c r="E89" s="51"/>
      <c r="F89" s="51"/>
      <c r="G89" s="51"/>
      <c r="H89" s="51"/>
      <c r="I89" s="51"/>
      <c r="J89" s="51"/>
      <c r="K89" s="51"/>
    </row>
    <row r="90" spans="2:11" x14ac:dyDescent="0.25">
      <c r="B90" s="1" t="s">
        <v>0</v>
      </c>
      <c r="C90" s="1" t="s">
        <v>124</v>
      </c>
      <c r="D90" s="2" t="s">
        <v>61</v>
      </c>
      <c r="E90" s="2" t="s">
        <v>9</v>
      </c>
      <c r="F90" s="2" t="s">
        <v>10</v>
      </c>
      <c r="G90" s="2" t="s">
        <v>62</v>
      </c>
      <c r="H90" s="2" t="s">
        <v>11</v>
      </c>
      <c r="I90" s="2" t="s">
        <v>12</v>
      </c>
      <c r="J90" s="44" t="s">
        <v>64</v>
      </c>
      <c r="K90" s="45" t="s">
        <v>13</v>
      </c>
    </row>
    <row r="91" spans="2:11" x14ac:dyDescent="0.25">
      <c r="B91" s="36"/>
      <c r="C91" s="36"/>
      <c r="D91" s="36"/>
      <c r="E91" s="36"/>
      <c r="F91" s="36"/>
      <c r="G91" s="36"/>
      <c r="H91" s="36"/>
      <c r="I91" s="36"/>
      <c r="J91" s="36"/>
      <c r="K91" s="36"/>
    </row>
    <row r="92" spans="2:11" x14ac:dyDescent="0.25">
      <c r="B92" s="36"/>
      <c r="C92" s="36"/>
      <c r="D92" s="36"/>
      <c r="E92" s="36"/>
      <c r="F92" s="36"/>
      <c r="G92" s="36"/>
      <c r="H92" s="36"/>
      <c r="I92" s="36"/>
      <c r="J92" s="36"/>
      <c r="K92" s="36"/>
    </row>
    <row r="93" spans="2:11" x14ac:dyDescent="0.25">
      <c r="B93" s="36"/>
      <c r="C93" s="36"/>
      <c r="D93" s="36"/>
      <c r="E93" s="36"/>
      <c r="F93" s="36"/>
      <c r="G93" s="36"/>
      <c r="H93" s="36"/>
      <c r="I93" s="36"/>
      <c r="J93" s="36"/>
      <c r="K93" s="36"/>
    </row>
    <row r="94" spans="2:11" x14ac:dyDescent="0.25">
      <c r="B94" s="36"/>
      <c r="C94" s="36"/>
      <c r="D94" s="36"/>
      <c r="E94" s="36"/>
      <c r="F94" s="36"/>
      <c r="G94" s="36"/>
      <c r="H94" s="36"/>
      <c r="I94" s="36"/>
      <c r="J94" s="36"/>
      <c r="K94" s="36"/>
    </row>
    <row r="95" spans="2:11" x14ac:dyDescent="0.25">
      <c r="B95" s="36"/>
      <c r="C95" s="36"/>
      <c r="D95" s="36"/>
      <c r="E95" s="36"/>
      <c r="F95" s="36"/>
      <c r="G95" s="36"/>
      <c r="H95" s="36"/>
      <c r="I95" s="36"/>
      <c r="J95" s="36"/>
      <c r="K95" s="36"/>
    </row>
    <row r="96" spans="2:11" x14ac:dyDescent="0.25">
      <c r="B96" s="36"/>
      <c r="C96" s="36"/>
      <c r="D96" s="36"/>
      <c r="E96" s="36"/>
      <c r="F96" s="36"/>
      <c r="G96" s="36"/>
      <c r="H96" s="36"/>
      <c r="I96" s="36"/>
      <c r="J96" s="36"/>
      <c r="K96" s="36"/>
    </row>
    <row r="97" spans="2:11" x14ac:dyDescent="0.25">
      <c r="B97" s="36"/>
      <c r="C97" s="36"/>
      <c r="D97" s="36"/>
      <c r="E97" s="36"/>
      <c r="F97" s="36"/>
      <c r="G97" s="36"/>
      <c r="H97" s="36"/>
      <c r="I97" s="36"/>
      <c r="J97" s="36"/>
      <c r="K97" s="36"/>
    </row>
    <row r="98" spans="2:11" x14ac:dyDescent="0.25">
      <c r="B98" s="36"/>
      <c r="C98" s="36"/>
      <c r="D98" s="36"/>
      <c r="E98" s="36"/>
      <c r="F98" s="36"/>
      <c r="G98" s="36"/>
      <c r="H98" s="36"/>
      <c r="I98" s="36"/>
      <c r="J98" s="36"/>
      <c r="K98" s="36"/>
    </row>
    <row r="99" spans="2:11" x14ac:dyDescent="0.25">
      <c r="B99" s="36"/>
      <c r="C99" s="36"/>
      <c r="D99" s="36"/>
      <c r="E99" s="36"/>
      <c r="F99" s="36"/>
      <c r="G99" s="36"/>
      <c r="H99" s="36"/>
      <c r="I99" s="36"/>
      <c r="J99" s="36"/>
      <c r="K99" s="36"/>
    </row>
    <row r="100" spans="12:12" x14ac:dyDescent="0.25">
      <c r="L100" s="54"/>
    </row>
  </sheetData>
  <hyperlinks>
    <hyperlink ref="H4" r:id="rId1"/>
    <hyperlink ref="I4" r:id="rId2"/>
    <hyperlink ref="H5" r:id="rId3"/>
    <hyperlink ref="I5" r:id="rId4"/>
    <hyperlink ref="H6" r:id="rId5"/>
    <hyperlink ref="I6" r:id="rId6"/>
    <hyperlink ref="H7" r:id="rId7"/>
    <hyperlink ref="I7" r:id="rId8"/>
    <hyperlink ref="H8" r:id="rId9"/>
    <hyperlink ref="I8" r:id="rId10"/>
    <hyperlink ref="H9" r:id="rId11"/>
    <hyperlink ref="I9" r:id="rId12"/>
    <hyperlink ref="H10" r:id="rId13"/>
    <hyperlink ref="I10" r:id="rId14"/>
    <hyperlink ref="H11" r:id="rId15"/>
    <hyperlink ref="I11" r:id="rId16"/>
    <hyperlink ref="H12" r:id="rId17"/>
    <hyperlink ref="I12" r:id="rId18"/>
    <hyperlink ref="H13" r:id="rId19"/>
    <hyperlink ref="I13" r:id="rId20"/>
    <hyperlink ref="H14" r:id="rId21"/>
    <hyperlink ref="I14" r:id="rId22"/>
    <hyperlink ref="H15" r:id="rId23"/>
    <hyperlink ref="I15" r:id="rId24"/>
    <hyperlink ref="H16" r:id="rId25"/>
    <hyperlink ref="I16" r:id="rId26"/>
    <hyperlink ref="H17" r:id="rId27"/>
    <hyperlink ref="I17" r:id="rId28"/>
    <hyperlink ref="H18" r:id="rId29"/>
    <hyperlink ref="I18" r:id="rId30"/>
    <hyperlink ref="H19" r:id="rId31"/>
    <hyperlink ref="I19" r:id="rId32"/>
    <hyperlink ref="H20" r:id="rId33"/>
    <hyperlink ref="I20" r:id="rId34"/>
    <hyperlink ref="H21" r:id="rId35"/>
    <hyperlink ref="I21" r:id="rId36"/>
    <hyperlink ref="H22" r:id="rId37"/>
    <hyperlink ref="I22" r:id="rId38"/>
    <hyperlink ref="H23" r:id="rId39"/>
    <hyperlink ref="I23" r:id="rId40"/>
    <hyperlink ref="H24" r:id="rId41"/>
    <hyperlink ref="I24" r:id="rId42"/>
    <hyperlink ref="H25" r:id="rId43"/>
    <hyperlink ref="I25" r:id="rId44"/>
    <hyperlink ref="H26" r:id="rId45"/>
    <hyperlink ref="I26" r:id="rId46"/>
    <hyperlink ref="H27" r:id="rId47"/>
    <hyperlink ref="I27" r:id="rId48"/>
    <hyperlink ref="I28" r:id="rId49"/>
    <hyperlink ref="H29" r:id="rId50"/>
    <hyperlink ref="I29" r:id="rId51"/>
    <hyperlink ref="H30" r:id="rId52"/>
    <hyperlink ref="I30" r:id="rId53"/>
  </hyperlinks>
  <pageMargins left="0.7" right="0.7" top="0.75" bottom="0.75" header="0.3" footer="0.3"/>
  <pageSetup paperSize="9" orientation="portrait" horizontalDpi="360" verticalDpi="360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100"/>
  <sheetViews>
    <sheetView workbookViewId="0" zoomScale="70" zoomScaleNormal="70">
      <selection activeCell="E57" sqref="E57"/>
    </sheetView>
  </sheetViews>
  <sheetFormatPr defaultRowHeight="15" outlineLevelRow="0" outlineLevelCol="0" x14ac:dyDescent="0.25"/>
  <cols>
    <col min="1" max="1" width="9.42578125" customWidth="1"/>
    <col min="2" max="2" width="20" customWidth="1"/>
    <col min="3" max="3" width="15" customWidth="1"/>
    <col min="4" max="4" width="30.140625" customWidth="1"/>
    <col min="5" max="5" width="23.7109375" customWidth="1"/>
    <col min="6" max="6" width="27.5703125" customWidth="1"/>
    <col min="7" max="7" width="44.5703125" customWidth="1"/>
    <col min="8" max="8" width="30.5703125" customWidth="1"/>
    <col min="9" max="9" width="67" customWidth="1"/>
    <col min="10" max="10" width="23.5703125" customWidth="1"/>
    <col min="11" max="11" width="25.85546875" customWidth="1"/>
    <col min="12" max="12" width="24.85546875" customWidth="1"/>
    <col min="13" max="13" width="26.7109375" customWidth="1"/>
    <col min="14" max="14" width="22.85546875" customWidth="1"/>
    <col min="15" max="16" width="17.42578125" customWidth="1"/>
    <col min="17" max="17" width="13.42578125" customWidth="1"/>
    <col min="18" max="18" width="13" customWidth="1"/>
    <col min="19" max="19" width="18.28515625" customWidth="1"/>
    <col min="20" max="20" width="17.5703125" customWidth="1"/>
    <col min="21" max="21" width="19.140625" customWidth="1"/>
    <col min="23" max="23" width="21" customWidth="1"/>
  </cols>
  <sheetData>
    <row r="2" ht="15.75" customHeight="1" x14ac:dyDescent="0.25"/>
    <row r="3" ht="29.25" customHeight="1" spans="2:21" x14ac:dyDescent="0.25">
      <c r="B3" s="1" t="s">
        <v>0</v>
      </c>
      <c r="C3" s="2" t="s">
        <v>58</v>
      </c>
      <c r="D3" s="2" t="s">
        <v>59</v>
      </c>
      <c r="E3" s="2" t="s">
        <v>53</v>
      </c>
      <c r="F3" s="2" t="s">
        <v>3</v>
      </c>
      <c r="G3" s="2" t="s">
        <v>4</v>
      </c>
      <c r="H3" s="2" t="s">
        <v>60</v>
      </c>
      <c r="I3" s="2" t="s">
        <v>6</v>
      </c>
      <c r="J3" s="2" t="s">
        <v>7</v>
      </c>
      <c r="K3" s="2" t="s">
        <v>61</v>
      </c>
      <c r="L3" s="2" t="s">
        <v>9</v>
      </c>
      <c r="M3" s="2" t="s">
        <v>10</v>
      </c>
      <c r="N3" s="2" t="s">
        <v>62</v>
      </c>
      <c r="O3" s="2" t="s">
        <v>11</v>
      </c>
      <c r="P3" s="2" t="s">
        <v>12</v>
      </c>
      <c r="Q3" s="44" t="s">
        <v>64</v>
      </c>
      <c r="R3" s="45" t="s">
        <v>13</v>
      </c>
      <c r="S3" s="45" t="s">
        <v>65</v>
      </c>
      <c r="U3" s="4" t="s">
        <v>14</v>
      </c>
    </row>
    <row r="4" ht="43.5" customHeight="1" spans="2:21" x14ac:dyDescent="0.25">
      <c r="B4" s="61" t="s">
        <v>244</v>
      </c>
      <c r="C4" s="59" t="s">
        <v>66</v>
      </c>
      <c r="D4" s="55" t="s">
        <v>66</v>
      </c>
      <c r="E4" s="61" t="s">
        <v>245</v>
      </c>
      <c r="F4" s="55" t="s">
        <v>130</v>
      </c>
      <c r="G4" s="57" t="s">
        <v>246</v>
      </c>
      <c r="H4" s="10" t="s">
        <v>247</v>
      </c>
      <c r="I4" s="10" t="s">
        <v>248</v>
      </c>
      <c r="J4" s="12">
        <v>62.99</v>
      </c>
      <c r="K4" s="13">
        <f>J4*$U$4</f>
        <v>226.764</v>
      </c>
      <c r="L4" s="13"/>
      <c r="M4" s="13"/>
      <c r="N4" s="13"/>
      <c r="O4" s="15"/>
      <c r="P4" s="8"/>
      <c r="Q4" s="46"/>
      <c r="R4" s="8"/>
      <c r="S4" s="36"/>
      <c r="U4" s="8">
        <v>3.6</v>
      </c>
    </row>
    <row r="5" ht="43.5" customHeight="1" spans="2:21" x14ac:dyDescent="0.25">
      <c r="B5" s="61" t="s">
        <v>249</v>
      </c>
      <c r="C5" s="59" t="s">
        <v>66</v>
      </c>
      <c r="D5" s="7" t="s">
        <v>66</v>
      </c>
      <c r="E5" s="61" t="s">
        <v>250</v>
      </c>
      <c r="F5" s="55" t="s">
        <v>21</v>
      </c>
      <c r="G5" s="61" t="s">
        <v>251</v>
      </c>
      <c r="H5" s="47" t="s">
        <v>252</v>
      </c>
      <c r="I5" s="10" t="s">
        <v>253</v>
      </c>
      <c r="J5" s="12">
        <v>58.4</v>
      </c>
      <c r="K5" s="13">
        <f t="shared" ref="K5:K64" si="0">J5*$U$4</f>
        <v>210.24</v>
      </c>
      <c r="L5" s="13"/>
      <c r="M5" s="13"/>
      <c r="N5" s="13"/>
      <c r="O5" s="15"/>
      <c r="P5" s="8"/>
      <c r="Q5" s="46"/>
      <c r="R5" s="8"/>
      <c r="S5" s="36"/>
      <c r="U5" s="20"/>
    </row>
    <row r="6" ht="43.5" customHeight="1" spans="2:21" x14ac:dyDescent="0.25">
      <c r="B6" s="61" t="s">
        <v>254</v>
      </c>
      <c r="C6" s="59" t="s">
        <v>66</v>
      </c>
      <c r="D6" s="7" t="s">
        <v>66</v>
      </c>
      <c r="E6" s="61" t="s">
        <v>255</v>
      </c>
      <c r="F6" s="8" t="s">
        <v>16</v>
      </c>
      <c r="G6" s="61" t="s">
        <v>256</v>
      </c>
      <c r="H6" s="78" t="s">
        <v>147</v>
      </c>
      <c r="I6" s="10" t="s">
        <v>257</v>
      </c>
      <c r="J6" s="12">
        <v>59.99</v>
      </c>
      <c r="K6" s="13">
        <f t="shared" si="0"/>
        <v>215.964</v>
      </c>
      <c r="L6" s="13"/>
      <c r="M6" s="13"/>
      <c r="N6" s="13"/>
      <c r="O6" s="15"/>
      <c r="P6" s="8"/>
      <c r="Q6" s="46"/>
      <c r="R6" s="8"/>
      <c r="S6" s="36"/>
      <c r="U6" s="20"/>
    </row>
    <row r="7" ht="43.5" customHeight="1" spans="2:21" x14ac:dyDescent="0.25">
      <c r="B7" s="61" t="s">
        <v>258</v>
      </c>
      <c r="C7" s="59" t="s">
        <v>66</v>
      </c>
      <c r="D7" s="7" t="s">
        <v>66</v>
      </c>
      <c r="E7" s="61" t="s">
        <v>259</v>
      </c>
      <c r="F7" s="8" t="s">
        <v>130</v>
      </c>
      <c r="G7" s="79" t="s">
        <v>260</v>
      </c>
      <c r="H7" s="47" t="s">
        <v>234</v>
      </c>
      <c r="I7" s="10" t="s">
        <v>261</v>
      </c>
      <c r="J7" s="12">
        <v>135</v>
      </c>
      <c r="K7" s="13">
        <f t="shared" si="0"/>
        <v>486</v>
      </c>
      <c r="L7" s="13"/>
      <c r="M7" s="13"/>
      <c r="N7" s="13"/>
      <c r="O7" s="15"/>
      <c r="P7" s="8"/>
      <c r="Q7" s="46"/>
      <c r="R7" s="8"/>
      <c r="S7" s="36"/>
      <c r="U7" s="22"/>
    </row>
    <row r="8" ht="30" customHeight="1" spans="2:21" x14ac:dyDescent="0.25">
      <c r="B8" s="61" t="s">
        <v>262</v>
      </c>
      <c r="C8" s="59" t="s">
        <v>66</v>
      </c>
      <c r="D8" s="7" t="s">
        <v>66</v>
      </c>
      <c r="E8" s="61" t="s">
        <v>263</v>
      </c>
      <c r="F8" s="8" t="s">
        <v>130</v>
      </c>
      <c r="G8" s="79" t="s">
        <v>264</v>
      </c>
      <c r="H8" s="47" t="s">
        <v>265</v>
      </c>
      <c r="I8" s="10" t="s">
        <v>266</v>
      </c>
      <c r="J8" s="12">
        <v>55</v>
      </c>
      <c r="K8" s="13">
        <f t="shared" si="0"/>
        <v>198</v>
      </c>
      <c r="L8" s="13"/>
      <c r="M8" s="13"/>
      <c r="N8" s="13"/>
      <c r="O8" s="15"/>
      <c r="P8" s="8"/>
      <c r="Q8" s="46"/>
      <c r="R8" s="8"/>
      <c r="S8" s="36"/>
      <c r="U8" s="23"/>
    </row>
    <row r="9" ht="30" customHeight="1" spans="2:21" x14ac:dyDescent="0.25">
      <c r="B9" s="61" t="s">
        <v>267</v>
      </c>
      <c r="C9" s="59" t="s">
        <v>66</v>
      </c>
      <c r="D9" s="7" t="s">
        <v>66</v>
      </c>
      <c r="E9" s="61" t="s">
        <v>268</v>
      </c>
      <c r="F9" s="8" t="s">
        <v>130</v>
      </c>
      <c r="G9" s="61" t="s">
        <v>269</v>
      </c>
      <c r="H9" s="47" t="s">
        <v>265</v>
      </c>
      <c r="I9" s="10" t="s">
        <v>270</v>
      </c>
      <c r="J9" s="12">
        <v>85</v>
      </c>
      <c r="K9" s="13">
        <f t="shared" si="0"/>
        <v>306</v>
      </c>
      <c r="L9" s="13"/>
      <c r="M9" s="13"/>
      <c r="N9" s="13"/>
      <c r="O9" s="15"/>
      <c r="P9" s="8"/>
      <c r="Q9" s="46"/>
      <c r="R9" s="8"/>
      <c r="S9" s="36"/>
      <c r="U9" s="20"/>
    </row>
    <row r="10" ht="43.5" customHeight="1" spans="2:21" s="62" customFormat="1" x14ac:dyDescent="0.25">
      <c r="B10" s="61" t="s">
        <v>271</v>
      </c>
      <c r="C10" s="59" t="s">
        <v>66</v>
      </c>
      <c r="D10" s="7" t="s">
        <v>66</v>
      </c>
      <c r="E10" s="61" t="s">
        <v>272</v>
      </c>
      <c r="F10" s="8" t="s">
        <v>21</v>
      </c>
      <c r="G10" s="9" t="s">
        <v>273</v>
      </c>
      <c r="H10" s="47" t="s">
        <v>152</v>
      </c>
      <c r="I10" s="10" t="s">
        <v>274</v>
      </c>
      <c r="J10" s="12">
        <v>11.95</v>
      </c>
      <c r="K10" s="13">
        <f t="shared" si="0"/>
        <v>43.019999999999996</v>
      </c>
      <c r="L10" s="64"/>
      <c r="M10" s="64"/>
      <c r="N10" s="64"/>
      <c r="O10" s="15"/>
      <c r="P10" s="8"/>
      <c r="Q10" s="65"/>
      <c r="R10" s="66"/>
      <c r="S10" s="66"/>
      <c r="U10" s="20"/>
    </row>
    <row r="11" ht="30" customHeight="1" spans="2:21" x14ac:dyDescent="0.25">
      <c r="B11" s="61" t="s">
        <v>275</v>
      </c>
      <c r="C11" s="59" t="s">
        <v>66</v>
      </c>
      <c r="D11" s="7" t="s">
        <v>66</v>
      </c>
      <c r="E11" s="61" t="s">
        <v>276</v>
      </c>
      <c r="F11" s="8" t="s">
        <v>16</v>
      </c>
      <c r="G11" s="9" t="s">
        <v>277</v>
      </c>
      <c r="H11" s="47" t="s">
        <v>278</v>
      </c>
      <c r="I11" s="10" t="s">
        <v>279</v>
      </c>
      <c r="J11" s="12">
        <v>185.5</v>
      </c>
      <c r="K11" s="13">
        <f t="shared" si="0"/>
        <v>667.8000000000001</v>
      </c>
      <c r="L11" s="13"/>
      <c r="M11" s="13"/>
      <c r="N11" s="13"/>
      <c r="O11" s="15"/>
      <c r="P11" s="8"/>
      <c r="Q11" s="46"/>
      <c r="R11" s="36"/>
      <c r="S11" s="36"/>
      <c r="U11" s="24"/>
    </row>
    <row r="12" ht="29.25" customHeight="1" spans="2:21" x14ac:dyDescent="0.25">
      <c r="B12" s="61" t="s">
        <v>280</v>
      </c>
      <c r="C12" s="59" t="s">
        <v>66</v>
      </c>
      <c r="D12" s="7" t="s">
        <v>66</v>
      </c>
      <c r="E12" s="61" t="s">
        <v>281</v>
      </c>
      <c r="F12" s="8" t="s">
        <v>130</v>
      </c>
      <c r="G12" s="9" t="s">
        <v>282</v>
      </c>
      <c r="H12" s="47" t="s">
        <v>265</v>
      </c>
      <c r="I12" s="10" t="s">
        <v>283</v>
      </c>
      <c r="J12" s="12">
        <v>38</v>
      </c>
      <c r="K12" s="13">
        <f t="shared" si="0"/>
        <v>136.8</v>
      </c>
      <c r="L12" s="13"/>
      <c r="M12" s="13"/>
      <c r="N12" s="13"/>
      <c r="O12" s="15"/>
      <c r="P12" s="8"/>
      <c r="Q12" s="46"/>
      <c r="R12" s="36"/>
      <c r="S12" s="36"/>
      <c r="U12" s="23"/>
    </row>
    <row r="13" ht="43.5" customHeight="1" spans="2:21" x14ac:dyDescent="0.25">
      <c r="B13" s="61" t="s">
        <v>284</v>
      </c>
      <c r="C13" s="59" t="s">
        <v>66</v>
      </c>
      <c r="D13" s="7" t="s">
        <v>66</v>
      </c>
      <c r="E13" s="61" t="s">
        <v>285</v>
      </c>
      <c r="F13" s="8" t="s">
        <v>16</v>
      </c>
      <c r="G13" s="9" t="s">
        <v>286</v>
      </c>
      <c r="H13" s="47" t="s">
        <v>278</v>
      </c>
      <c r="I13" s="10" t="s">
        <v>287</v>
      </c>
      <c r="J13" s="12">
        <v>188.5</v>
      </c>
      <c r="K13" s="13">
        <f t="shared" si="0"/>
        <v>678.6</v>
      </c>
      <c r="L13" s="13"/>
      <c r="M13" s="13"/>
      <c r="N13" s="13"/>
      <c r="O13" s="15"/>
      <c r="P13" s="8"/>
      <c r="Q13" s="46"/>
      <c r="R13" s="36"/>
      <c r="S13" s="36"/>
      <c r="U13" s="20"/>
    </row>
    <row r="14" ht="43.5" customHeight="1" spans="2:21" x14ac:dyDescent="0.25">
      <c r="B14" s="61" t="s">
        <v>288</v>
      </c>
      <c r="C14" s="59" t="s">
        <v>66</v>
      </c>
      <c r="D14" s="7" t="s">
        <v>66</v>
      </c>
      <c r="E14" s="61" t="s">
        <v>289</v>
      </c>
      <c r="F14" s="8" t="s">
        <v>21</v>
      </c>
      <c r="G14" s="9" t="s">
        <v>290</v>
      </c>
      <c r="H14" s="47" t="s">
        <v>157</v>
      </c>
      <c r="I14" s="10" t="s">
        <v>291</v>
      </c>
      <c r="J14" s="12">
        <v>48.46</v>
      </c>
      <c r="K14" s="13">
        <f t="shared" si="0"/>
        <v>174.45600000000002</v>
      </c>
      <c r="L14" s="13"/>
      <c r="M14" s="13"/>
      <c r="N14" s="13"/>
      <c r="O14" s="15"/>
      <c r="P14" s="8"/>
      <c r="Q14" s="46"/>
      <c r="R14" s="36"/>
      <c r="S14" s="36"/>
      <c r="U14" s="20"/>
    </row>
    <row r="15" ht="30" customHeight="1" spans="2:21" x14ac:dyDescent="0.25">
      <c r="B15" s="61" t="s">
        <v>292</v>
      </c>
      <c r="C15" s="59" t="s">
        <v>66</v>
      </c>
      <c r="D15" s="7" t="s">
        <v>66</v>
      </c>
      <c r="E15" s="61" t="s">
        <v>293</v>
      </c>
      <c r="F15" s="8" t="s">
        <v>16</v>
      </c>
      <c r="G15" s="9" t="s">
        <v>294</v>
      </c>
      <c r="H15" s="47" t="s">
        <v>278</v>
      </c>
      <c r="I15" s="10" t="s">
        <v>295</v>
      </c>
      <c r="J15" s="12">
        <v>183.5</v>
      </c>
      <c r="K15" s="13">
        <f t="shared" si="0"/>
        <v>660.6</v>
      </c>
      <c r="L15" s="13"/>
      <c r="M15" s="13"/>
      <c r="N15" s="13"/>
      <c r="O15" s="15"/>
      <c r="P15" s="8"/>
      <c r="Q15" s="46"/>
      <c r="R15" s="36"/>
      <c r="S15" s="36"/>
      <c r="U15" s="40"/>
    </row>
    <row r="16" ht="30" customHeight="1" spans="2:21" x14ac:dyDescent="0.25">
      <c r="B16" s="61" t="s">
        <v>296</v>
      </c>
      <c r="C16" s="59" t="s">
        <v>66</v>
      </c>
      <c r="D16" s="7" t="s">
        <v>66</v>
      </c>
      <c r="E16" s="61" t="s">
        <v>297</v>
      </c>
      <c r="F16" s="8" t="s">
        <v>21</v>
      </c>
      <c r="G16" s="9" t="s">
        <v>298</v>
      </c>
      <c r="H16" s="47" t="s">
        <v>299</v>
      </c>
      <c r="I16" s="10" t="s">
        <v>300</v>
      </c>
      <c r="J16" s="12">
        <v>13.02</v>
      </c>
      <c r="K16" s="13">
        <f t="shared" si="0"/>
        <v>46.872</v>
      </c>
      <c r="L16" s="13"/>
      <c r="M16" s="13"/>
      <c r="N16" s="13"/>
      <c r="O16" s="15"/>
      <c r="P16" s="8"/>
      <c r="Q16" s="46"/>
      <c r="R16" s="36"/>
      <c r="S16" s="36"/>
      <c r="U16" s="23"/>
    </row>
    <row r="17" ht="30" customHeight="1" spans="2:19" x14ac:dyDescent="0.25">
      <c r="B17" s="61" t="s">
        <v>296</v>
      </c>
      <c r="C17" s="59" t="s">
        <v>66</v>
      </c>
      <c r="D17" s="7" t="s">
        <v>66</v>
      </c>
      <c r="E17" s="61" t="s">
        <v>301</v>
      </c>
      <c r="F17" s="8" t="s">
        <v>21</v>
      </c>
      <c r="G17" s="61" t="s">
        <v>298</v>
      </c>
      <c r="H17" s="47" t="s">
        <v>299</v>
      </c>
      <c r="I17" s="10" t="s">
        <v>302</v>
      </c>
      <c r="J17" s="12">
        <v>5</v>
      </c>
      <c r="K17" s="13">
        <f t="shared" si="0"/>
        <v>18</v>
      </c>
      <c r="L17" s="13"/>
      <c r="M17" s="13"/>
      <c r="N17" s="13"/>
      <c r="O17" s="15"/>
      <c r="P17" s="8"/>
      <c r="Q17" s="46"/>
      <c r="R17" s="36"/>
      <c r="S17" s="36"/>
    </row>
    <row r="18" ht="43.5" customHeight="1" spans="2:19" x14ac:dyDescent="0.25">
      <c r="B18" s="61" t="s">
        <v>303</v>
      </c>
      <c r="C18" s="59" t="s">
        <v>66</v>
      </c>
      <c r="D18" s="7" t="s">
        <v>66</v>
      </c>
      <c r="E18" s="61" t="s">
        <v>304</v>
      </c>
      <c r="F18" s="8" t="s">
        <v>21</v>
      </c>
      <c r="G18" s="61" t="s">
        <v>305</v>
      </c>
      <c r="H18" s="47" t="s">
        <v>306</v>
      </c>
      <c r="I18" s="10" t="s">
        <v>307</v>
      </c>
      <c r="J18" s="12">
        <v>8.34</v>
      </c>
      <c r="K18" s="13">
        <f t="shared" si="0"/>
        <v>30.024</v>
      </c>
      <c r="L18" s="13"/>
      <c r="M18" s="13"/>
      <c r="N18" s="13"/>
      <c r="O18" s="15"/>
      <c r="P18" s="8"/>
      <c r="Q18" s="46"/>
      <c r="R18" s="36"/>
      <c r="S18" s="36"/>
    </row>
    <row r="19" ht="43.5" customHeight="1" spans="2:19" x14ac:dyDescent="0.25">
      <c r="B19" s="61" t="s">
        <v>308</v>
      </c>
      <c r="C19" s="59" t="s">
        <v>66</v>
      </c>
      <c r="D19" s="7" t="s">
        <v>66</v>
      </c>
      <c r="E19" s="61" t="s">
        <v>309</v>
      </c>
      <c r="F19" s="8" t="s">
        <v>21</v>
      </c>
      <c r="G19" s="9" t="s">
        <v>310</v>
      </c>
      <c r="H19" s="47" t="s">
        <v>311</v>
      </c>
      <c r="I19" s="10" t="s">
        <v>312</v>
      </c>
      <c r="J19" s="12">
        <v>11.79</v>
      </c>
      <c r="K19" s="13">
        <f t="shared" si="0"/>
        <v>42.443999999999996</v>
      </c>
      <c r="L19" s="13"/>
      <c r="M19" s="13"/>
      <c r="N19" s="13"/>
      <c r="O19" s="15"/>
      <c r="P19" s="8"/>
      <c r="Q19" s="46"/>
      <c r="R19" s="36"/>
      <c r="S19" s="36"/>
    </row>
    <row r="20" ht="29.25" customHeight="1" spans="2:19" x14ac:dyDescent="0.25">
      <c r="B20" s="61" t="s">
        <v>313</v>
      </c>
      <c r="C20" s="59" t="s">
        <v>66</v>
      </c>
      <c r="D20" s="7" t="s">
        <v>66</v>
      </c>
      <c r="E20" s="61" t="s">
        <v>314</v>
      </c>
      <c r="F20" s="8" t="s">
        <v>130</v>
      </c>
      <c r="G20" s="9" t="s">
        <v>315</v>
      </c>
      <c r="H20" s="47" t="s">
        <v>316</v>
      </c>
      <c r="I20" s="10" t="s">
        <v>317</v>
      </c>
      <c r="J20" s="12">
        <v>8.59</v>
      </c>
      <c r="K20" s="13">
        <f t="shared" si="0"/>
        <v>30.924</v>
      </c>
      <c r="L20" s="13"/>
      <c r="M20" s="13"/>
      <c r="N20" s="13"/>
      <c r="O20" s="15"/>
      <c r="P20" s="8"/>
      <c r="Q20" s="46"/>
      <c r="R20" s="36"/>
      <c r="S20" s="36"/>
    </row>
    <row r="21" ht="43.5" customHeight="1" spans="2:19" x14ac:dyDescent="0.25">
      <c r="B21" s="61" t="s">
        <v>318</v>
      </c>
      <c r="C21" s="59" t="s">
        <v>66</v>
      </c>
      <c r="D21" s="7" t="s">
        <v>66</v>
      </c>
      <c r="E21" s="61" t="s">
        <v>319</v>
      </c>
      <c r="F21" s="8" t="s">
        <v>21</v>
      </c>
      <c r="G21" s="9" t="s">
        <v>320</v>
      </c>
      <c r="H21" s="47" t="s">
        <v>321</v>
      </c>
      <c r="I21" s="10" t="s">
        <v>322</v>
      </c>
      <c r="J21" s="12">
        <v>17.08</v>
      </c>
      <c r="K21" s="13">
        <f t="shared" si="0"/>
        <v>61.48799999999999</v>
      </c>
      <c r="L21" s="13"/>
      <c r="M21" s="13"/>
      <c r="N21" s="13"/>
      <c r="O21" s="15">
        <f>L21-K21-N21</f>
        <v>-61.48799999999999</v>
      </c>
      <c r="P21" s="8"/>
      <c r="Q21" s="46"/>
      <c r="R21" s="36"/>
      <c r="S21" s="36"/>
    </row>
    <row r="22" ht="43.5" customHeight="1" spans="2:19" x14ac:dyDescent="0.25">
      <c r="B22" s="61" t="s">
        <v>323</v>
      </c>
      <c r="C22" s="59" t="s">
        <v>66</v>
      </c>
      <c r="D22" s="7" t="s">
        <v>66</v>
      </c>
      <c r="E22" s="61" t="s">
        <v>324</v>
      </c>
      <c r="F22" s="8" t="s">
        <v>16</v>
      </c>
      <c r="G22" s="9" t="s">
        <v>325</v>
      </c>
      <c r="H22" s="47" t="s">
        <v>147</v>
      </c>
      <c r="I22" s="10" t="s">
        <v>326</v>
      </c>
      <c r="J22" s="12">
        <v>99</v>
      </c>
      <c r="K22" s="13">
        <f t="shared" si="0"/>
        <v>356.40000000000003</v>
      </c>
      <c r="L22" s="13"/>
      <c r="M22" s="13"/>
      <c r="N22" s="13"/>
      <c r="O22" s="15">
        <f>L22-K22-N22</f>
        <v>-356.40000000000003</v>
      </c>
      <c r="P22" s="8"/>
      <c r="Q22" s="46"/>
      <c r="R22" s="36"/>
      <c r="S22" s="36"/>
    </row>
    <row r="23" ht="43.5" customHeight="1" spans="2:19" x14ac:dyDescent="0.25">
      <c r="B23" s="61" t="s">
        <v>327</v>
      </c>
      <c r="C23" s="59" t="s">
        <v>66</v>
      </c>
      <c r="D23" s="7" t="s">
        <v>66</v>
      </c>
      <c r="E23" s="61" t="s">
        <v>328</v>
      </c>
      <c r="F23" s="8" t="s">
        <v>21</v>
      </c>
      <c r="G23" s="9" t="s">
        <v>329</v>
      </c>
      <c r="H23" s="47" t="s">
        <v>330</v>
      </c>
      <c r="I23" s="10" t="s">
        <v>331</v>
      </c>
      <c r="J23" s="12">
        <v>6.74</v>
      </c>
      <c r="K23" s="13">
        <f t="shared" si="0"/>
        <v>24.264000000000003</v>
      </c>
      <c r="L23" s="13"/>
      <c r="M23" s="13"/>
      <c r="N23" s="13"/>
      <c r="O23" s="15">
        <f>L23-K23-N23</f>
        <v>-24.264000000000003</v>
      </c>
      <c r="P23" s="8"/>
      <c r="Q23" s="46"/>
      <c r="R23" s="36"/>
      <c r="S23" s="36"/>
    </row>
    <row r="24" ht="43.5" customHeight="1" spans="2:19" x14ac:dyDescent="0.25">
      <c r="B24" s="61" t="s">
        <v>332</v>
      </c>
      <c r="C24" s="59" t="s">
        <v>66</v>
      </c>
      <c r="D24" s="8" t="s">
        <v>66</v>
      </c>
      <c r="E24" s="61" t="s">
        <v>333</v>
      </c>
      <c r="F24" s="8" t="s">
        <v>21</v>
      </c>
      <c r="G24" s="8" t="s">
        <v>334</v>
      </c>
      <c r="H24" s="47" t="s">
        <v>335</v>
      </c>
      <c r="I24" s="10" t="s">
        <v>336</v>
      </c>
      <c r="J24" s="12">
        <v>16.75</v>
      </c>
      <c r="K24" s="13">
        <f t="shared" si="0"/>
        <v>60.300000000000004</v>
      </c>
      <c r="L24" s="36"/>
      <c r="M24" s="67"/>
      <c r="N24" s="67">
        <f>SUM(L4:L23)</f>
        <v>0</v>
      </c>
      <c r="O24" s="36"/>
      <c r="P24" s="36"/>
      <c r="Q24" s="67">
        <f>SUM(O4:O23)</f>
        <v>-442.15200000000004</v>
      </c>
      <c r="R24" s="36"/>
      <c r="S24" s="36"/>
    </row>
    <row r="25" ht="43.5" customHeight="1" spans="2:19" x14ac:dyDescent="0.25">
      <c r="B25" s="61" t="s">
        <v>337</v>
      </c>
      <c r="C25" s="59" t="s">
        <v>66</v>
      </c>
      <c r="D25" s="8" t="s">
        <v>66</v>
      </c>
      <c r="E25" s="61" t="s">
        <v>338</v>
      </c>
      <c r="F25" s="8" t="s">
        <v>21</v>
      </c>
      <c r="G25" s="61" t="s">
        <v>339</v>
      </c>
      <c r="H25" s="47" t="s">
        <v>340</v>
      </c>
      <c r="I25" s="10" t="s">
        <v>341</v>
      </c>
      <c r="J25" s="12">
        <v>31</v>
      </c>
      <c r="K25" s="13">
        <f t="shared" si="0"/>
        <v>111.60000000000001</v>
      </c>
      <c r="L25" s="36"/>
      <c r="M25" s="36"/>
      <c r="N25" s="36"/>
      <c r="O25" s="36"/>
      <c r="P25" s="36"/>
      <c r="Q25" s="36"/>
      <c r="R25" s="36"/>
      <c r="S25" s="36"/>
    </row>
    <row r="26" ht="43.5" customHeight="1" spans="2:19" x14ac:dyDescent="0.25">
      <c r="B26" s="61" t="s">
        <v>342</v>
      </c>
      <c r="C26" s="59" t="s">
        <v>66</v>
      </c>
      <c r="D26" s="8" t="s">
        <v>66</v>
      </c>
      <c r="E26" s="61" t="s">
        <v>343</v>
      </c>
      <c r="F26" s="8" t="s">
        <v>21</v>
      </c>
      <c r="G26" s="61" t="s">
        <v>344</v>
      </c>
      <c r="H26" s="47" t="s">
        <v>345</v>
      </c>
      <c r="I26" s="10" t="s">
        <v>346</v>
      </c>
      <c r="J26" s="12">
        <v>113.99</v>
      </c>
      <c r="K26" s="13">
        <f t="shared" si="0"/>
        <v>410.364</v>
      </c>
      <c r="L26" s="36"/>
      <c r="M26" s="36"/>
      <c r="N26" s="36"/>
      <c r="O26" s="36"/>
      <c r="P26" s="36"/>
      <c r="Q26" s="36"/>
      <c r="R26" s="36"/>
      <c r="S26" s="36"/>
    </row>
    <row r="27" ht="29.25" customHeight="1" spans="2:19" x14ac:dyDescent="0.25">
      <c r="B27" s="61" t="s">
        <v>347</v>
      </c>
      <c r="C27" s="59" t="s">
        <v>66</v>
      </c>
      <c r="D27" s="8" t="s">
        <v>66</v>
      </c>
      <c r="E27" s="61" t="s">
        <v>348</v>
      </c>
      <c r="F27" s="8" t="s">
        <v>21</v>
      </c>
      <c r="G27" s="8" t="s">
        <v>349</v>
      </c>
      <c r="H27" s="47" t="s">
        <v>345</v>
      </c>
      <c r="I27" s="10" t="s">
        <v>350</v>
      </c>
      <c r="J27" s="12">
        <v>123.49</v>
      </c>
      <c r="K27" s="13">
        <f t="shared" si="0"/>
        <v>444.56399999999996</v>
      </c>
      <c r="L27" s="36"/>
      <c r="M27" s="36"/>
      <c r="N27" s="36"/>
      <c r="O27" s="36"/>
      <c r="P27" s="36"/>
      <c r="Q27" s="36"/>
      <c r="R27" s="36"/>
      <c r="S27" s="36"/>
    </row>
    <row r="28" ht="30" customHeight="1" spans="2:19" x14ac:dyDescent="0.25">
      <c r="B28" s="61" t="s">
        <v>351</v>
      </c>
      <c r="C28" s="59" t="s">
        <v>66</v>
      </c>
      <c r="D28" s="8" t="s">
        <v>66</v>
      </c>
      <c r="E28" s="61" t="s">
        <v>352</v>
      </c>
      <c r="F28" s="8" t="s">
        <v>130</v>
      </c>
      <c r="G28" s="8" t="s">
        <v>353</v>
      </c>
      <c r="H28" s="47" t="s">
        <v>265</v>
      </c>
      <c r="I28" s="10" t="s">
        <v>354</v>
      </c>
      <c r="J28" s="12">
        <v>66</v>
      </c>
      <c r="K28" s="13">
        <f t="shared" si="0"/>
        <v>237.6</v>
      </c>
      <c r="L28" s="36"/>
      <c r="M28" s="36"/>
      <c r="N28" s="36"/>
      <c r="O28" s="36"/>
      <c r="P28" s="36"/>
      <c r="Q28" s="36"/>
      <c r="R28" s="36"/>
      <c r="S28" s="36"/>
    </row>
    <row r="29" ht="30" customHeight="1" spans="2:19" x14ac:dyDescent="0.25">
      <c r="B29" s="61" t="s">
        <v>355</v>
      </c>
      <c r="C29" s="59" t="s">
        <v>66</v>
      </c>
      <c r="D29" s="8" t="s">
        <v>356</v>
      </c>
      <c r="E29" s="61" t="s">
        <v>357</v>
      </c>
      <c r="F29" s="8" t="s">
        <v>21</v>
      </c>
      <c r="G29" s="61" t="s">
        <v>358</v>
      </c>
      <c r="H29" s="47" t="s">
        <v>359</v>
      </c>
      <c r="I29" s="10" t="s">
        <v>360</v>
      </c>
      <c r="J29" s="12">
        <v>12.96</v>
      </c>
      <c r="K29" s="13">
        <f t="shared" si="0"/>
        <v>46.656000000000006</v>
      </c>
      <c r="L29" s="36"/>
      <c r="M29" s="36"/>
      <c r="N29" s="36"/>
      <c r="O29" s="36"/>
      <c r="P29" s="36"/>
      <c r="Q29" s="36"/>
      <c r="R29" s="36"/>
      <c r="S29" s="36"/>
    </row>
    <row r="30" ht="43.5" customHeight="1" spans="2:19" x14ac:dyDescent="0.25">
      <c r="B30" s="61" t="s">
        <v>361</v>
      </c>
      <c r="C30" s="59" t="s">
        <v>66</v>
      </c>
      <c r="D30" s="8" t="s">
        <v>66</v>
      </c>
      <c r="E30" s="61" t="s">
        <v>362</v>
      </c>
      <c r="F30" s="8" t="s">
        <v>21</v>
      </c>
      <c r="G30" s="61" t="s">
        <v>363</v>
      </c>
      <c r="H30" s="47" t="s">
        <v>364</v>
      </c>
      <c r="I30" s="10" t="s">
        <v>365</v>
      </c>
      <c r="J30" s="12">
        <v>8.52</v>
      </c>
      <c r="K30" s="13">
        <f t="shared" si="0"/>
        <v>30.672</v>
      </c>
      <c r="L30" s="36"/>
      <c r="M30" s="36"/>
      <c r="N30" s="36"/>
      <c r="O30" s="36"/>
      <c r="P30" s="36"/>
      <c r="Q30" s="36"/>
      <c r="R30" s="36"/>
      <c r="S30" s="36"/>
    </row>
    <row r="31" ht="30.75" customHeight="1" spans="2:19" x14ac:dyDescent="0.25">
      <c r="B31" s="61" t="s">
        <v>366</v>
      </c>
      <c r="C31" s="59" t="s">
        <v>66</v>
      </c>
      <c r="D31" s="8" t="s">
        <v>66</v>
      </c>
      <c r="E31" s="61" t="s">
        <v>367</v>
      </c>
      <c r="F31" s="8" t="s">
        <v>130</v>
      </c>
      <c r="G31" s="8" t="s">
        <v>368</v>
      </c>
      <c r="H31" s="47" t="s">
        <v>369</v>
      </c>
      <c r="I31" s="10" t="s">
        <v>370</v>
      </c>
      <c r="J31" s="12">
        <v>61</v>
      </c>
      <c r="K31" s="13">
        <f t="shared" si="0"/>
        <v>219.6</v>
      </c>
      <c r="L31" s="36"/>
      <c r="M31" s="36"/>
      <c r="N31" s="36"/>
      <c r="O31" s="36"/>
      <c r="P31" s="36"/>
      <c r="Q31" s="36"/>
      <c r="R31" s="36"/>
      <c r="S31" s="36"/>
    </row>
    <row r="32" ht="30" customHeight="1" spans="2:19" x14ac:dyDescent="0.25">
      <c r="B32" s="61" t="s">
        <v>371</v>
      </c>
      <c r="C32" s="59" t="s">
        <v>66</v>
      </c>
      <c r="D32" s="8" t="s">
        <v>66</v>
      </c>
      <c r="E32" s="61" t="s">
        <v>372</v>
      </c>
      <c r="F32" s="8" t="s">
        <v>21</v>
      </c>
      <c r="G32" s="8" t="s">
        <v>373</v>
      </c>
      <c r="H32" s="47" t="s">
        <v>157</v>
      </c>
      <c r="I32" s="10" t="s">
        <v>374</v>
      </c>
      <c r="J32" s="12">
        <v>22.19</v>
      </c>
      <c r="K32" s="13">
        <f t="shared" si="0"/>
        <v>79.884</v>
      </c>
      <c r="L32" s="36"/>
      <c r="M32" s="36"/>
      <c r="N32" s="36"/>
      <c r="O32" s="36"/>
      <c r="P32" s="36"/>
      <c r="Q32" s="36"/>
      <c r="R32" s="36"/>
      <c r="S32" s="36"/>
    </row>
    <row r="33" ht="29.25" customHeight="1" spans="2:19" x14ac:dyDescent="0.25">
      <c r="B33" s="61" t="s">
        <v>375</v>
      </c>
      <c r="C33" s="59" t="s">
        <v>66</v>
      </c>
      <c r="D33" s="8" t="s">
        <v>66</v>
      </c>
      <c r="E33" s="61" t="s">
        <v>376</v>
      </c>
      <c r="F33" s="8" t="s">
        <v>21</v>
      </c>
      <c r="G33" s="61" t="s">
        <v>377</v>
      </c>
      <c r="H33" s="47" t="s">
        <v>378</v>
      </c>
      <c r="I33" s="10" t="s">
        <v>379</v>
      </c>
      <c r="J33" s="12">
        <v>24.48</v>
      </c>
      <c r="K33" s="13">
        <f t="shared" si="0"/>
        <v>88.128</v>
      </c>
      <c r="L33" s="36"/>
      <c r="M33" s="36"/>
      <c r="N33" s="36"/>
      <c r="O33" s="36"/>
      <c r="P33" s="36"/>
      <c r="Q33" s="36"/>
      <c r="R33" s="36"/>
      <c r="S33" s="36"/>
    </row>
    <row r="34" ht="29.25" customHeight="1" spans="2:19" x14ac:dyDescent="0.25">
      <c r="B34" s="61" t="s">
        <v>380</v>
      </c>
      <c r="C34" s="59" t="s">
        <v>66</v>
      </c>
      <c r="D34" s="8" t="s">
        <v>66</v>
      </c>
      <c r="E34" s="61" t="s">
        <v>381</v>
      </c>
      <c r="F34" s="8" t="s">
        <v>16</v>
      </c>
      <c r="G34" s="8" t="s">
        <v>382</v>
      </c>
      <c r="H34" s="47" t="s">
        <v>147</v>
      </c>
      <c r="I34" s="10" t="s">
        <v>383</v>
      </c>
      <c r="J34" s="12">
        <v>33.99</v>
      </c>
      <c r="K34" s="13">
        <f t="shared" si="0"/>
        <v>122.364</v>
      </c>
      <c r="L34" s="36"/>
      <c r="M34" s="36"/>
      <c r="N34" s="36"/>
      <c r="O34" s="36"/>
      <c r="P34" s="36"/>
      <c r="Q34" s="36"/>
      <c r="R34" s="36"/>
      <c r="S34" s="36"/>
    </row>
    <row r="35" ht="43.5" customHeight="1" spans="2:19" x14ac:dyDescent="0.25">
      <c r="B35" s="61" t="s">
        <v>384</v>
      </c>
      <c r="C35" s="59" t="s">
        <v>66</v>
      </c>
      <c r="D35" s="8" t="s">
        <v>66</v>
      </c>
      <c r="E35" s="61" t="s">
        <v>385</v>
      </c>
      <c r="F35" s="8" t="s">
        <v>21</v>
      </c>
      <c r="G35" s="8" t="s">
        <v>386</v>
      </c>
      <c r="H35" s="47" t="s">
        <v>387</v>
      </c>
      <c r="I35" s="10" t="s">
        <v>388</v>
      </c>
      <c r="J35" s="12">
        <v>21</v>
      </c>
      <c r="K35" s="13">
        <f t="shared" si="0"/>
        <v>75.60000000000001</v>
      </c>
      <c r="L35" s="36"/>
      <c r="M35" s="36"/>
      <c r="N35" s="36"/>
      <c r="O35" s="36"/>
      <c r="P35" s="36"/>
      <c r="Q35" s="36"/>
      <c r="R35" s="36"/>
      <c r="S35" s="36"/>
    </row>
    <row r="36" ht="42.75" customHeight="1" spans="2:19" x14ac:dyDescent="0.25">
      <c r="B36" s="61" t="s">
        <v>389</v>
      </c>
      <c r="C36" s="59" t="s">
        <v>66</v>
      </c>
      <c r="D36" s="8" t="s">
        <v>66</v>
      </c>
      <c r="E36" s="61" t="s">
        <v>390</v>
      </c>
      <c r="F36" s="8" t="s">
        <v>21</v>
      </c>
      <c r="G36" s="61" t="s">
        <v>391</v>
      </c>
      <c r="H36" s="47" t="s">
        <v>392</v>
      </c>
      <c r="I36" s="10" t="s">
        <v>393</v>
      </c>
      <c r="J36" s="12">
        <v>9.3</v>
      </c>
      <c r="K36" s="13">
        <f t="shared" si="0"/>
        <v>33.480000000000004</v>
      </c>
      <c r="L36" s="36"/>
      <c r="M36" s="36"/>
      <c r="N36" s="36"/>
      <c r="O36" s="36"/>
      <c r="P36" s="36"/>
      <c r="Q36" s="36"/>
      <c r="R36" s="36"/>
      <c r="S36" s="36"/>
    </row>
    <row r="37" ht="43.5" customHeight="1" spans="2:19" x14ac:dyDescent="0.25">
      <c r="B37" s="61" t="s">
        <v>394</v>
      </c>
      <c r="C37" s="59" t="s">
        <v>66</v>
      </c>
      <c r="D37" s="8" t="s">
        <v>66</v>
      </c>
      <c r="E37" s="61" t="s">
        <v>395</v>
      </c>
      <c r="F37" s="8" t="s">
        <v>21</v>
      </c>
      <c r="G37" s="8" t="s">
        <v>396</v>
      </c>
      <c r="H37" s="47" t="s">
        <v>397</v>
      </c>
      <c r="I37" s="10" t="s">
        <v>398</v>
      </c>
      <c r="J37" s="12">
        <v>27</v>
      </c>
      <c r="K37" s="13">
        <f t="shared" si="0"/>
        <v>97.2</v>
      </c>
      <c r="L37" s="36"/>
      <c r="M37" s="36"/>
      <c r="N37" s="36"/>
      <c r="O37" s="36"/>
      <c r="P37" s="36"/>
      <c r="Q37" s="36"/>
      <c r="R37" s="36"/>
      <c r="S37" s="36"/>
    </row>
    <row r="38" ht="43.5" customHeight="1" spans="2:19" x14ac:dyDescent="0.25">
      <c r="B38" s="61" t="s">
        <v>399</v>
      </c>
      <c r="C38" s="59" t="s">
        <v>66</v>
      </c>
      <c r="D38" s="8" t="s">
        <v>66</v>
      </c>
      <c r="E38" s="61" t="s">
        <v>400</v>
      </c>
      <c r="F38" s="8" t="s">
        <v>21</v>
      </c>
      <c r="G38" s="8" t="s">
        <v>373</v>
      </c>
      <c r="H38" s="47" t="s">
        <v>157</v>
      </c>
      <c r="I38" s="10" t="s">
        <v>401</v>
      </c>
      <c r="J38" s="12">
        <v>95.93</v>
      </c>
      <c r="K38" s="13">
        <f t="shared" si="0"/>
        <v>345.348</v>
      </c>
      <c r="L38" s="36"/>
      <c r="M38" s="36"/>
      <c r="N38" s="36"/>
      <c r="O38" s="36"/>
      <c r="P38" s="36"/>
      <c r="Q38" s="36"/>
      <c r="R38" s="36"/>
      <c r="S38" s="36"/>
    </row>
    <row r="39" ht="43.5" customHeight="1" spans="2:19" x14ac:dyDescent="0.25">
      <c r="B39" s="61" t="s">
        <v>402</v>
      </c>
      <c r="C39" s="59" t="s">
        <v>66</v>
      </c>
      <c r="D39" s="8" t="s">
        <v>66</v>
      </c>
      <c r="E39" s="61" t="s">
        <v>403</v>
      </c>
      <c r="F39" s="8" t="s">
        <v>21</v>
      </c>
      <c r="G39" s="61" t="s">
        <v>404</v>
      </c>
      <c r="H39" s="47" t="s">
        <v>137</v>
      </c>
      <c r="I39" s="10" t="s">
        <v>405</v>
      </c>
      <c r="J39" s="12">
        <v>99</v>
      </c>
      <c r="K39" s="13">
        <f t="shared" si="0"/>
        <v>356.40000000000003</v>
      </c>
      <c r="L39" s="36"/>
      <c r="M39" s="36"/>
      <c r="N39" s="36"/>
      <c r="O39" s="36"/>
      <c r="P39" s="36"/>
      <c r="Q39" s="36"/>
      <c r="R39" s="36"/>
      <c r="S39" s="36"/>
    </row>
    <row r="40" ht="43.5" customHeight="1" spans="2:19" x14ac:dyDescent="0.25">
      <c r="B40" s="61" t="s">
        <v>402</v>
      </c>
      <c r="C40" s="59" t="s">
        <v>66</v>
      </c>
      <c r="D40" s="8" t="s">
        <v>66</v>
      </c>
      <c r="E40" s="61" t="s">
        <v>406</v>
      </c>
      <c r="F40" s="8" t="s">
        <v>21</v>
      </c>
      <c r="G40" s="8" t="s">
        <v>404</v>
      </c>
      <c r="H40" s="47" t="s">
        <v>137</v>
      </c>
      <c r="I40" s="10" t="s">
        <v>407</v>
      </c>
      <c r="J40" s="12">
        <v>33</v>
      </c>
      <c r="K40" s="13">
        <f t="shared" si="0"/>
        <v>118.8</v>
      </c>
      <c r="L40" s="36"/>
      <c r="M40" s="36"/>
      <c r="N40" s="36"/>
      <c r="O40" s="36"/>
      <c r="P40" s="36"/>
      <c r="Q40" s="36"/>
      <c r="R40" s="36"/>
      <c r="S40" s="36"/>
    </row>
    <row r="41" ht="29.25" customHeight="1" spans="2:19" x14ac:dyDescent="0.25">
      <c r="B41" s="61" t="s">
        <v>408</v>
      </c>
      <c r="C41" s="59" t="s">
        <v>66</v>
      </c>
      <c r="D41" s="8" t="s">
        <v>66</v>
      </c>
      <c r="E41" s="61" t="s">
        <v>409</v>
      </c>
      <c r="F41" s="8" t="s">
        <v>130</v>
      </c>
      <c r="G41" s="8" t="s">
        <v>410</v>
      </c>
      <c r="H41" s="47" t="s">
        <v>265</v>
      </c>
      <c r="I41" s="10" t="s">
        <v>283</v>
      </c>
      <c r="J41" s="12">
        <v>42</v>
      </c>
      <c r="K41" s="13">
        <f t="shared" si="0"/>
        <v>151.20000000000002</v>
      </c>
      <c r="L41" s="36"/>
      <c r="M41" s="36"/>
      <c r="N41" s="36"/>
      <c r="O41" s="36"/>
      <c r="P41" s="36"/>
      <c r="Q41" s="36"/>
      <c r="R41" s="36"/>
      <c r="S41" s="36"/>
    </row>
    <row r="42" ht="30" customHeight="1" spans="2:19" x14ac:dyDescent="0.25">
      <c r="B42" s="61" t="s">
        <v>411</v>
      </c>
      <c r="C42" s="59" t="s">
        <v>66</v>
      </c>
      <c r="D42" s="8" t="s">
        <v>66</v>
      </c>
      <c r="E42" s="61" t="s">
        <v>412</v>
      </c>
      <c r="F42" s="8" t="s">
        <v>130</v>
      </c>
      <c r="G42" s="61" t="s">
        <v>413</v>
      </c>
      <c r="H42" s="47" t="s">
        <v>265</v>
      </c>
      <c r="I42" s="10" t="s">
        <v>414</v>
      </c>
      <c r="J42" s="12">
        <v>33</v>
      </c>
      <c r="K42" s="13">
        <f t="shared" si="0"/>
        <v>118.8</v>
      </c>
      <c r="L42" s="36"/>
      <c r="M42" s="36"/>
      <c r="N42" s="36"/>
      <c r="O42" s="36"/>
      <c r="P42" s="36"/>
      <c r="Q42" s="36"/>
      <c r="R42" s="36"/>
      <c r="S42" s="36"/>
    </row>
    <row r="43" ht="43.5" customHeight="1" spans="2:19" x14ac:dyDescent="0.25">
      <c r="B43" s="61" t="s">
        <v>415</v>
      </c>
      <c r="C43" s="59" t="s">
        <v>66</v>
      </c>
      <c r="D43" s="8" t="s">
        <v>66</v>
      </c>
      <c r="E43" s="61" t="s">
        <v>416</v>
      </c>
      <c r="F43" s="8" t="s">
        <v>130</v>
      </c>
      <c r="G43" s="8" t="s">
        <v>417</v>
      </c>
      <c r="H43" s="47" t="s">
        <v>418</v>
      </c>
      <c r="I43" s="10" t="s">
        <v>419</v>
      </c>
      <c r="J43" s="12">
        <v>104</v>
      </c>
      <c r="K43" s="13">
        <f t="shared" si="0"/>
        <v>374.40000000000003</v>
      </c>
      <c r="L43" s="36"/>
      <c r="M43" s="36"/>
      <c r="N43" s="36"/>
      <c r="O43" s="36"/>
      <c r="P43" s="36"/>
      <c r="Q43" s="36"/>
      <c r="R43" s="36"/>
      <c r="S43" s="36"/>
    </row>
    <row r="44" ht="43.5" customHeight="1" spans="2:19" x14ac:dyDescent="0.25">
      <c r="B44" s="61" t="s">
        <v>420</v>
      </c>
      <c r="C44" s="59" t="s">
        <v>66</v>
      </c>
      <c r="D44" s="8" t="s">
        <v>66</v>
      </c>
      <c r="E44" s="61" t="s">
        <v>421</v>
      </c>
      <c r="F44" s="8" t="s">
        <v>21</v>
      </c>
      <c r="G44" s="8" t="s">
        <v>422</v>
      </c>
      <c r="H44" s="47" t="s">
        <v>423</v>
      </c>
      <c r="I44" s="10" t="s">
        <v>424</v>
      </c>
      <c r="J44" s="12">
        <v>47</v>
      </c>
      <c r="K44" s="13">
        <f t="shared" si="0"/>
        <v>169.20000000000002</v>
      </c>
      <c r="L44" s="36"/>
      <c r="M44" s="36"/>
      <c r="N44" s="36"/>
      <c r="O44" s="36"/>
      <c r="P44" s="36"/>
      <c r="Q44" s="36"/>
      <c r="R44" s="36"/>
      <c r="S44" s="36"/>
    </row>
    <row r="45" ht="30" customHeight="1" spans="2:19" x14ac:dyDescent="0.25">
      <c r="B45" s="61" t="s">
        <v>425</v>
      </c>
      <c r="C45" s="59" t="s">
        <v>66</v>
      </c>
      <c r="D45" s="8" t="s">
        <v>66</v>
      </c>
      <c r="E45" s="61" t="s">
        <v>426</v>
      </c>
      <c r="F45" s="8" t="s">
        <v>130</v>
      </c>
      <c r="G45" s="61" t="s">
        <v>427</v>
      </c>
      <c r="H45" s="47" t="s">
        <v>265</v>
      </c>
      <c r="I45" s="10" t="s">
        <v>428</v>
      </c>
      <c r="J45" s="12">
        <v>92</v>
      </c>
      <c r="K45" s="13">
        <f t="shared" si="0"/>
        <v>331.2</v>
      </c>
      <c r="L45" s="36"/>
      <c r="M45" s="36"/>
      <c r="N45" s="36"/>
      <c r="O45" s="36"/>
      <c r="P45" s="36"/>
      <c r="Q45" s="36"/>
      <c r="R45" s="36"/>
      <c r="S45" s="36"/>
    </row>
    <row r="46" ht="30" customHeight="1" spans="2:19" x14ac:dyDescent="0.25">
      <c r="B46" s="61" t="s">
        <v>429</v>
      </c>
      <c r="C46" s="59" t="s">
        <v>66</v>
      </c>
      <c r="D46" s="8" t="s">
        <v>66</v>
      </c>
      <c r="E46" s="61" t="s">
        <v>430</v>
      </c>
      <c r="F46" s="8" t="s">
        <v>21</v>
      </c>
      <c r="G46" s="8" t="s">
        <v>431</v>
      </c>
      <c r="H46" s="47" t="s">
        <v>432</v>
      </c>
      <c r="I46" s="10" t="s">
        <v>433</v>
      </c>
      <c r="J46" s="12">
        <v>39.7</v>
      </c>
      <c r="K46" s="13">
        <f t="shared" si="0"/>
        <v>142.92000000000002</v>
      </c>
      <c r="L46" s="36"/>
      <c r="M46" s="36"/>
      <c r="N46" s="36"/>
      <c r="O46" s="36"/>
      <c r="P46" s="36"/>
      <c r="Q46" s="36"/>
      <c r="R46" s="36"/>
      <c r="S46" s="36"/>
    </row>
    <row r="47" ht="43.5" customHeight="1" spans="2:19" x14ac:dyDescent="0.25">
      <c r="B47" s="61" t="s">
        <v>434</v>
      </c>
      <c r="C47" s="59" t="s">
        <v>66</v>
      </c>
      <c r="D47" s="8" t="s">
        <v>66</v>
      </c>
      <c r="E47" s="61" t="s">
        <v>435</v>
      </c>
      <c r="F47" s="8" t="s">
        <v>130</v>
      </c>
      <c r="G47" s="8" t="s">
        <v>436</v>
      </c>
      <c r="H47" s="47" t="s">
        <v>437</v>
      </c>
      <c r="I47" s="10" t="s">
        <v>438</v>
      </c>
      <c r="J47" s="12">
        <v>150</v>
      </c>
      <c r="K47" s="13">
        <f t="shared" si="0"/>
        <v>540</v>
      </c>
      <c r="L47" s="36"/>
      <c r="M47" s="36"/>
      <c r="N47" s="36"/>
      <c r="O47" s="36"/>
      <c r="P47" s="36"/>
      <c r="Q47" s="36"/>
      <c r="R47" s="36"/>
      <c r="S47" s="36"/>
    </row>
    <row r="48" ht="44.25" customHeight="1" spans="2:19" x14ac:dyDescent="0.25">
      <c r="B48" s="61" t="s">
        <v>439</v>
      </c>
      <c r="C48" s="59" t="s">
        <v>66</v>
      </c>
      <c r="D48" s="8" t="s">
        <v>66</v>
      </c>
      <c r="E48" s="80">
        <v>4.20331956472943e+33</v>
      </c>
      <c r="F48" s="8" t="s">
        <v>21</v>
      </c>
      <c r="G48" s="8" t="s">
        <v>440</v>
      </c>
      <c r="H48" s="47" t="s">
        <v>441</v>
      </c>
      <c r="I48" s="10" t="s">
        <v>442</v>
      </c>
      <c r="J48" s="12">
        <v>88.61</v>
      </c>
      <c r="K48" s="13">
        <f t="shared" si="0"/>
        <v>318.996</v>
      </c>
      <c r="L48" s="36"/>
      <c r="M48" s="36"/>
      <c r="N48" s="36"/>
      <c r="O48" s="36"/>
      <c r="P48" s="36"/>
      <c r="Q48" s="36"/>
      <c r="R48" s="36"/>
      <c r="S48" s="36"/>
    </row>
    <row r="49" ht="43.5" customHeight="1" spans="2:19" x14ac:dyDescent="0.25">
      <c r="B49" s="61" t="s">
        <v>443</v>
      </c>
      <c r="C49" s="59" t="s">
        <v>66</v>
      </c>
      <c r="D49" s="8" t="s">
        <v>66</v>
      </c>
      <c r="E49" s="61" t="s">
        <v>444</v>
      </c>
      <c r="F49" s="8" t="s">
        <v>130</v>
      </c>
      <c r="G49" s="8" t="s">
        <v>445</v>
      </c>
      <c r="H49" s="47" t="s">
        <v>446</v>
      </c>
      <c r="I49" s="10" t="s">
        <v>447</v>
      </c>
      <c r="J49" s="12">
        <v>600</v>
      </c>
      <c r="K49" s="13">
        <f t="shared" si="0"/>
        <v>2160</v>
      </c>
      <c r="L49" s="36"/>
      <c r="M49" s="36"/>
      <c r="N49" s="36"/>
      <c r="O49" s="36"/>
      <c r="P49" s="36"/>
      <c r="Q49" s="36"/>
      <c r="R49" s="36"/>
      <c r="S49" s="36"/>
    </row>
    <row r="50" ht="30" customHeight="1" spans="2:19" x14ac:dyDescent="0.25">
      <c r="B50" s="61" t="s">
        <v>448</v>
      </c>
      <c r="C50" s="59" t="s">
        <v>66</v>
      </c>
      <c r="D50" s="8" t="s">
        <v>66</v>
      </c>
      <c r="E50" s="61" t="s">
        <v>449</v>
      </c>
      <c r="F50" s="8" t="s">
        <v>130</v>
      </c>
      <c r="G50" s="61" t="s">
        <v>450</v>
      </c>
      <c r="H50" s="47" t="s">
        <v>451</v>
      </c>
      <c r="I50" s="10" t="s">
        <v>452</v>
      </c>
      <c r="J50" s="12">
        <v>52.96</v>
      </c>
      <c r="K50" s="13">
        <f t="shared" si="0"/>
        <v>190.656</v>
      </c>
      <c r="L50" s="36"/>
      <c r="M50" s="36"/>
      <c r="N50" s="36"/>
      <c r="O50" s="36"/>
      <c r="P50" s="36"/>
      <c r="Q50" s="36"/>
      <c r="R50" s="36"/>
      <c r="S50" s="36"/>
    </row>
    <row r="51" ht="30" customHeight="1" spans="2:19" x14ac:dyDescent="0.25">
      <c r="B51" s="61" t="s">
        <v>453</v>
      </c>
      <c r="C51" s="59" t="s">
        <v>66</v>
      </c>
      <c r="D51" s="8" t="s">
        <v>66</v>
      </c>
      <c r="E51" s="61" t="s">
        <v>454</v>
      </c>
      <c r="F51" s="8" t="s">
        <v>21</v>
      </c>
      <c r="G51" s="8" t="s">
        <v>455</v>
      </c>
      <c r="H51" s="47" t="s">
        <v>456</v>
      </c>
      <c r="I51" s="10" t="s">
        <v>457</v>
      </c>
      <c r="J51" s="12">
        <v>63.5</v>
      </c>
      <c r="K51" s="13">
        <f t="shared" si="0"/>
        <v>228.6</v>
      </c>
      <c r="L51" s="36"/>
      <c r="M51" s="36"/>
      <c r="N51" s="36"/>
      <c r="O51" s="36"/>
      <c r="P51" s="36"/>
      <c r="Q51" s="36"/>
      <c r="R51" s="36"/>
      <c r="S51" s="36"/>
    </row>
    <row r="52" ht="30" customHeight="1" spans="2:19" x14ac:dyDescent="0.25">
      <c r="B52" s="61" t="s">
        <v>458</v>
      </c>
      <c r="C52" s="59" t="s">
        <v>66</v>
      </c>
      <c r="D52" s="8" t="s">
        <v>66</v>
      </c>
      <c r="E52" s="61" t="s">
        <v>459</v>
      </c>
      <c r="F52" s="8" t="s">
        <v>130</v>
      </c>
      <c r="G52" s="8" t="s">
        <v>460</v>
      </c>
      <c r="H52" s="47" t="s">
        <v>316</v>
      </c>
      <c r="I52" s="10" t="s">
        <v>461</v>
      </c>
      <c r="J52" s="12">
        <v>22.43</v>
      </c>
      <c r="K52" s="13">
        <f t="shared" si="0"/>
        <v>80.748</v>
      </c>
      <c r="L52" s="36"/>
      <c r="M52" s="36"/>
      <c r="N52" s="36"/>
      <c r="O52" s="36"/>
      <c r="P52" s="36"/>
      <c r="Q52" s="36"/>
      <c r="R52" s="36"/>
      <c r="S52" s="36"/>
    </row>
    <row r="53" spans="2:19" x14ac:dyDescent="0.25">
      <c r="B53" s="81" t="s">
        <v>462</v>
      </c>
      <c r="C53" s="82" t="s">
        <v>66</v>
      </c>
      <c r="D53" s="83" t="s">
        <v>66</v>
      </c>
      <c r="E53" s="72" t="s">
        <v>463</v>
      </c>
      <c r="F53" s="55" t="s">
        <v>21</v>
      </c>
      <c r="G53" s="57" t="s">
        <v>464</v>
      </c>
      <c r="H53" s="84" t="s">
        <v>465</v>
      </c>
      <c r="I53" s="52" t="s">
        <v>466</v>
      </c>
      <c r="J53" s="12">
        <v>65</v>
      </c>
      <c r="K53" s="13">
        <f>J53*</f>
        <v>221</v>
      </c>
      <c r="L53" s="36"/>
      <c r="M53" s="36"/>
      <c r="N53" s="36"/>
      <c r="O53" s="36"/>
      <c r="P53" s="36"/>
      <c r="Q53" s="36"/>
      <c r="R53" s="36"/>
      <c r="S53" s="36"/>
    </row>
    <row r="54" spans="2:19" x14ac:dyDescent="0.25">
      <c r="B54" s="55" t="s">
        <v>467</v>
      </c>
      <c r="C54" s="8" t="s">
        <v>66</v>
      </c>
      <c r="D54" s="8" t="s">
        <v>66</v>
      </c>
      <c r="E54" s="55" t="s">
        <v>468</v>
      </c>
      <c r="F54" s="8" t="s">
        <v>469</v>
      </c>
      <c r="G54" s="8" t="s">
        <v>470</v>
      </c>
      <c r="H54" s="8" t="s">
        <v>465</v>
      </c>
      <c r="I54" s="8" t="s">
        <v>471</v>
      </c>
      <c r="J54" s="12">
        <v>79.99</v>
      </c>
      <c r="K54" s="13">
        <f>J54*</f>
        <v>271.96599999999995</v>
      </c>
      <c r="L54" s="36"/>
      <c r="M54" s="36"/>
      <c r="N54" s="36"/>
      <c r="O54" s="36"/>
      <c r="P54" s="36"/>
      <c r="Q54" s="36"/>
      <c r="R54" s="36"/>
      <c r="S54" s="36"/>
    </row>
    <row r="55" spans="2:19" x14ac:dyDescent="0.25">
      <c r="B55" s="55" t="s">
        <v>472</v>
      </c>
      <c r="C55" s="8" t="s">
        <v>66</v>
      </c>
      <c r="D55" s="8" t="s">
        <v>66</v>
      </c>
      <c r="E55" s="55" t="s">
        <v>473</v>
      </c>
      <c r="F55" s="8" t="s">
        <v>469</v>
      </c>
      <c r="G55" s="8" t="s">
        <v>474</v>
      </c>
      <c r="H55" s="8" t="s">
        <v>465</v>
      </c>
      <c r="I55" s="8" t="s">
        <v>475</v>
      </c>
      <c r="J55" s="12">
        <v>94.99</v>
      </c>
      <c r="K55" s="13">
        <f>J55*</f>
        <v>322.96599999999995</v>
      </c>
      <c r="L55" s="36"/>
      <c r="M55" s="36"/>
      <c r="N55" s="36"/>
      <c r="O55" s="36"/>
      <c r="P55" s="36"/>
      <c r="Q55" s="36"/>
      <c r="R55" s="36"/>
      <c r="S55" s="36"/>
    </row>
    <row r="56" spans="2:19" x14ac:dyDescent="0.25">
      <c r="B56" s="55"/>
      <c r="C56" s="8"/>
      <c r="D56" s="8"/>
      <c r="E56" s="55"/>
      <c r="F56" s="8"/>
      <c r="G56" s="61"/>
      <c r="H56" s="10"/>
      <c r="I56" s="58"/>
      <c r="J56" s="12"/>
      <c r="K56" s="13">
        <f t="shared" si="0"/>
        <v>0</v>
      </c>
      <c r="L56" s="36"/>
      <c r="M56" s="36"/>
      <c r="N56" s="36"/>
      <c r="O56" s="36"/>
      <c r="P56" s="36"/>
      <c r="Q56" s="36"/>
      <c r="R56" s="36"/>
      <c r="S56" s="36"/>
    </row>
    <row r="57" spans="2:19" x14ac:dyDescent="0.25">
      <c r="B57" s="55"/>
      <c r="C57" s="8"/>
      <c r="D57" s="8"/>
      <c r="E57" s="55"/>
      <c r="F57" s="8"/>
      <c r="G57" s="8"/>
      <c r="H57" s="8"/>
      <c r="I57" s="8"/>
      <c r="J57" s="12"/>
      <c r="K57" s="13">
        <f t="shared" si="0"/>
        <v>0</v>
      </c>
      <c r="L57" s="36"/>
      <c r="M57" s="36"/>
      <c r="N57" s="36"/>
      <c r="O57" s="36"/>
      <c r="P57" s="36"/>
      <c r="Q57" s="36"/>
      <c r="R57" s="36"/>
      <c r="S57" s="36"/>
    </row>
    <row r="58" spans="2:19" x14ac:dyDescent="0.25">
      <c r="B58" s="55"/>
      <c r="C58" s="8"/>
      <c r="D58" s="8"/>
      <c r="E58" s="55"/>
      <c r="F58" s="8"/>
      <c r="G58" s="8"/>
      <c r="H58" s="8"/>
      <c r="I58" s="8"/>
      <c r="J58" s="12"/>
      <c r="K58" s="13">
        <f t="shared" si="0"/>
        <v>0</v>
      </c>
      <c r="L58" s="36"/>
      <c r="M58" s="36"/>
      <c r="N58" s="36"/>
      <c r="O58" s="36"/>
      <c r="P58" s="36"/>
      <c r="Q58" s="36"/>
      <c r="R58" s="36"/>
      <c r="S58" s="36"/>
    </row>
    <row r="59" spans="2:19" x14ac:dyDescent="0.25">
      <c r="B59" s="55"/>
      <c r="C59" s="8"/>
      <c r="D59" s="8"/>
      <c r="E59" s="55"/>
      <c r="F59" s="8"/>
      <c r="G59" s="61"/>
      <c r="H59" s="10"/>
      <c r="I59" s="58"/>
      <c r="J59" s="12"/>
      <c r="K59" s="13">
        <f t="shared" si="0"/>
        <v>0</v>
      </c>
      <c r="L59" s="36"/>
      <c r="M59" s="36"/>
      <c r="N59" s="36"/>
      <c r="O59" s="36"/>
      <c r="P59" s="36"/>
      <c r="Q59" s="36"/>
      <c r="R59" s="36"/>
      <c r="S59" s="36"/>
    </row>
    <row r="60" spans="2:19" x14ac:dyDescent="0.25">
      <c r="B60" s="55"/>
      <c r="C60" s="8"/>
      <c r="D60" s="8"/>
      <c r="E60" s="55"/>
      <c r="F60" s="8"/>
      <c r="G60" s="8"/>
      <c r="H60" s="8"/>
      <c r="I60" s="8"/>
      <c r="J60" s="12"/>
      <c r="K60" s="13">
        <f t="shared" si="0"/>
        <v>0</v>
      </c>
      <c r="L60" s="36"/>
      <c r="M60" s="36"/>
      <c r="N60" s="36"/>
      <c r="O60" s="36"/>
      <c r="P60" s="36"/>
      <c r="Q60" s="36"/>
      <c r="R60" s="36"/>
      <c r="S60" s="36"/>
    </row>
    <row r="61" spans="2:19" x14ac:dyDescent="0.25">
      <c r="B61" s="55"/>
      <c r="C61" s="8"/>
      <c r="D61" s="8"/>
      <c r="E61" s="55"/>
      <c r="F61" s="8"/>
      <c r="G61" s="81"/>
      <c r="H61" s="8"/>
      <c r="I61" s="8"/>
      <c r="J61" s="12"/>
      <c r="K61" s="13">
        <f t="shared" si="0"/>
        <v>0</v>
      </c>
      <c r="L61" s="36"/>
      <c r="M61" s="36"/>
      <c r="N61" s="36"/>
      <c r="O61" s="36"/>
      <c r="P61" s="36"/>
      <c r="Q61" s="36"/>
      <c r="R61" s="36"/>
      <c r="S61" s="36"/>
    </row>
    <row r="62" spans="2:19" x14ac:dyDescent="0.25">
      <c r="B62" s="55"/>
      <c r="C62" s="8"/>
      <c r="D62" s="8"/>
      <c r="E62" s="55"/>
      <c r="F62" s="8"/>
      <c r="G62" s="61"/>
      <c r="H62" s="10"/>
      <c r="I62" s="58"/>
      <c r="J62" s="12"/>
      <c r="K62" s="13">
        <f t="shared" si="0"/>
        <v>0</v>
      </c>
      <c r="L62" s="36"/>
      <c r="M62" s="36"/>
      <c r="N62" s="36"/>
      <c r="O62" s="36"/>
      <c r="P62" s="36"/>
      <c r="Q62" s="36"/>
      <c r="R62" s="36"/>
      <c r="S62" s="36"/>
    </row>
    <row r="63" spans="2:19" x14ac:dyDescent="0.25">
      <c r="B63" s="55"/>
      <c r="C63" s="8"/>
      <c r="D63" s="8"/>
      <c r="E63" s="55"/>
      <c r="F63" s="8"/>
      <c r="G63" s="8"/>
      <c r="H63" s="8"/>
      <c r="I63" s="8"/>
      <c r="J63" s="12"/>
      <c r="K63" s="13">
        <f t="shared" si="0"/>
        <v>0</v>
      </c>
      <c r="L63" s="36"/>
      <c r="M63" s="36"/>
      <c r="N63" s="36"/>
      <c r="O63" s="36"/>
      <c r="P63" s="36"/>
      <c r="Q63" s="36"/>
      <c r="R63" s="36"/>
      <c r="S63" s="36"/>
    </row>
    <row r="64" spans="2:19" x14ac:dyDescent="0.25">
      <c r="B64" s="55"/>
      <c r="C64" s="8"/>
      <c r="D64" s="8"/>
      <c r="E64" s="55"/>
      <c r="F64" s="8"/>
      <c r="G64" s="8"/>
      <c r="H64" s="8"/>
      <c r="I64" s="8"/>
      <c r="J64" s="12"/>
      <c r="K64" s="13">
        <f t="shared" si="0"/>
        <v>0</v>
      </c>
      <c r="L64" s="36"/>
      <c r="M64" s="36"/>
      <c r="N64" s="36"/>
      <c r="O64" s="36"/>
      <c r="P64" s="36"/>
      <c r="Q64" s="36"/>
      <c r="R64" s="36"/>
      <c r="S64" s="36"/>
    </row>
    <row r="65" spans="5:11" x14ac:dyDescent="0.25">
      <c r="F65" t="s">
        <v>476</v>
      </c>
      <c r="J65" s="75">
        <f>SUM(J4:J64)</f>
        <v>3416.6499999999996</v>
      </c>
      <c r="K65" s="43">
        <f>SUM(K4:K64)</f>
        <v>12299.94</v>
      </c>
    </row>
    <row r="66" spans="5:9" x14ac:dyDescent="0.25">
      <c r="I66" s="53"/>
    </row>
    <row r="67" spans="5:9" x14ac:dyDescent="0.25">
      <c r="I67" s="54"/>
    </row>
    <row r="68" spans="5:9" x14ac:dyDescent="0.25">
      <c r="I68" s="53"/>
    </row>
    <row r="69" spans="5:9" x14ac:dyDescent="0.25">
      <c r="I69" s="54"/>
    </row>
    <row r="70" spans="5:5" x14ac:dyDescent="0.25"/>
    <row r="71" spans="5:9" x14ac:dyDescent="0.25">
      <c r="I71" s="53"/>
    </row>
    <row r="72" spans="5:9" x14ac:dyDescent="0.25">
      <c r="I72" s="53"/>
    </row>
    <row r="73" spans="5:9" x14ac:dyDescent="0.25">
      <c r="I73" s="54"/>
    </row>
    <row r="74" spans="5:9" x14ac:dyDescent="0.25">
      <c r="I74" s="53"/>
    </row>
    <row r="75" spans="5:9" x14ac:dyDescent="0.25">
      <c r="I75" s="54"/>
    </row>
    <row r="76" spans="5:5" x14ac:dyDescent="0.25"/>
    <row r="77" spans="5:9" x14ac:dyDescent="0.25">
      <c r="I77" s="53"/>
    </row>
    <row r="78" spans="5:9" x14ac:dyDescent="0.25">
      <c r="I78" s="54"/>
    </row>
    <row r="79" spans="5:5" x14ac:dyDescent="0.25"/>
    <row r="80" spans="5:5" x14ac:dyDescent="0.25"/>
    <row r="81" spans="5:5" x14ac:dyDescent="0.25"/>
    <row r="82" spans="5:5" x14ac:dyDescent="0.25"/>
    <row r="83" spans="5:5" x14ac:dyDescent="0.25"/>
    <row r="84" spans="5:5" x14ac:dyDescent="0.25"/>
    <row r="85" spans="5:5" x14ac:dyDescent="0.25"/>
    <row r="86" spans="5:5" x14ac:dyDescent="0.25"/>
    <row r="87" spans="5:5" x14ac:dyDescent="0.25"/>
    <row r="88" spans="5:12" x14ac:dyDescent="0.25">
      <c r="L88" s="53"/>
    </row>
    <row r="89" ht="15.75" customHeight="1" spans="2:11" x14ac:dyDescent="0.25">
      <c r="B89" s="51" t="s">
        <v>123</v>
      </c>
      <c r="C89" s="51"/>
      <c r="D89" s="51"/>
      <c r="E89" s="51"/>
      <c r="F89" s="51"/>
      <c r="G89" s="51"/>
      <c r="H89" s="51"/>
      <c r="I89" s="51"/>
      <c r="J89" s="51"/>
      <c r="K89" s="51"/>
    </row>
    <row r="90" spans="2:11" x14ac:dyDescent="0.25">
      <c r="B90" s="1" t="s">
        <v>0</v>
      </c>
      <c r="C90" s="1" t="s">
        <v>124</v>
      </c>
      <c r="D90" s="2" t="s">
        <v>61</v>
      </c>
      <c r="E90" s="2" t="s">
        <v>9</v>
      </c>
      <c r="F90" s="2" t="s">
        <v>10</v>
      </c>
      <c r="G90" s="2" t="s">
        <v>62</v>
      </c>
      <c r="H90" s="2" t="s">
        <v>11</v>
      </c>
      <c r="I90" s="2" t="s">
        <v>12</v>
      </c>
      <c r="J90" s="44" t="s">
        <v>64</v>
      </c>
      <c r="K90" s="45" t="s">
        <v>13</v>
      </c>
    </row>
    <row r="91" spans="2:11" x14ac:dyDescent="0.25">
      <c r="B91" s="36"/>
      <c r="C91" s="36"/>
      <c r="D91" s="36"/>
      <c r="E91" s="36"/>
      <c r="F91" s="36"/>
      <c r="G91" s="36"/>
      <c r="H91" s="36"/>
      <c r="I91" s="36"/>
      <c r="J91" s="36"/>
      <c r="K91" s="36"/>
    </row>
    <row r="92" spans="2:11" x14ac:dyDescent="0.25">
      <c r="B92" s="36"/>
      <c r="C92" s="36"/>
      <c r="D92" s="36"/>
      <c r="E92" s="36"/>
      <c r="F92" s="36"/>
      <c r="G92" s="36"/>
      <c r="H92" s="36"/>
      <c r="I92" s="36"/>
      <c r="J92" s="36"/>
      <c r="K92" s="36"/>
    </row>
    <row r="93" spans="2:11" x14ac:dyDescent="0.25">
      <c r="B93" s="36"/>
      <c r="C93" s="36"/>
      <c r="D93" s="36"/>
      <c r="E93" s="36"/>
      <c r="F93" s="36"/>
      <c r="G93" s="36"/>
      <c r="H93" s="36"/>
      <c r="I93" s="36"/>
      <c r="J93" s="36"/>
      <c r="K93" s="36"/>
    </row>
    <row r="94" spans="2:11" x14ac:dyDescent="0.25">
      <c r="B94" s="36"/>
      <c r="C94" s="36"/>
      <c r="D94" s="36"/>
      <c r="E94" s="36"/>
      <c r="F94" s="36"/>
      <c r="G94" s="36"/>
      <c r="H94" s="36"/>
      <c r="I94" s="36"/>
      <c r="J94" s="36"/>
      <c r="K94" s="36"/>
    </row>
    <row r="95" spans="2:11" x14ac:dyDescent="0.25">
      <c r="B95" s="36"/>
      <c r="C95" s="36"/>
      <c r="D95" s="36"/>
      <c r="E95" s="36"/>
      <c r="F95" s="36"/>
      <c r="G95" s="36"/>
      <c r="H95" s="36"/>
      <c r="I95" s="36"/>
      <c r="J95" s="36"/>
      <c r="K95" s="36"/>
    </row>
    <row r="96" spans="2:11" x14ac:dyDescent="0.25">
      <c r="B96" s="36"/>
      <c r="C96" s="36"/>
      <c r="D96" s="36"/>
      <c r="E96" s="36"/>
      <c r="F96" s="36"/>
      <c r="G96" s="36"/>
      <c r="H96" s="36"/>
      <c r="I96" s="36"/>
      <c r="J96" s="36"/>
      <c r="K96" s="36"/>
    </row>
    <row r="97" spans="2:11" x14ac:dyDescent="0.25">
      <c r="B97" s="36"/>
      <c r="C97" s="36"/>
      <c r="D97" s="36"/>
      <c r="E97" s="36"/>
      <c r="F97" s="36"/>
      <c r="G97" s="36"/>
      <c r="H97" s="36"/>
      <c r="I97" s="36"/>
      <c r="J97" s="36"/>
      <c r="K97" s="36"/>
    </row>
    <row r="98" spans="2:11" x14ac:dyDescent="0.25">
      <c r="B98" s="36"/>
      <c r="C98" s="36"/>
      <c r="D98" s="36"/>
      <c r="E98" s="36"/>
      <c r="F98" s="36"/>
      <c r="G98" s="36"/>
      <c r="H98" s="36"/>
      <c r="I98" s="36"/>
      <c r="J98" s="36"/>
      <c r="K98" s="36"/>
    </row>
    <row r="99" spans="2:11" x14ac:dyDescent="0.25">
      <c r="B99" s="36"/>
      <c r="C99" s="36"/>
      <c r="D99" s="36"/>
      <c r="E99" s="36"/>
      <c r="F99" s="36"/>
      <c r="G99" s="36"/>
      <c r="H99" s="36"/>
      <c r="I99" s="36"/>
      <c r="J99" s="36"/>
      <c r="K99" s="36"/>
    </row>
    <row r="100" spans="5:12" x14ac:dyDescent="0.25">
      <c r="L100" s="54"/>
    </row>
  </sheetData>
  <hyperlinks>
    <hyperlink ref="H4" r:id="rId1"/>
    <hyperlink ref="I4" r:id="rId2"/>
    <hyperlink ref="H5" r:id="rId3"/>
    <hyperlink ref="I5" r:id="rId4"/>
    <hyperlink ref="I6" r:id="rId5"/>
    <hyperlink ref="H7" r:id="rId6"/>
    <hyperlink ref="I7" r:id="rId7"/>
    <hyperlink ref="H8" r:id="rId8"/>
    <hyperlink ref="I8" r:id="rId9"/>
    <hyperlink ref="H9" r:id="rId10"/>
    <hyperlink ref="I9" r:id="rId11"/>
    <hyperlink ref="H10" r:id="rId12"/>
    <hyperlink ref="I10" r:id="rId13"/>
    <hyperlink ref="H11" r:id="rId14"/>
    <hyperlink ref="I11" r:id="rId15"/>
    <hyperlink ref="H12" r:id="rId16"/>
    <hyperlink ref="I12" r:id="rId17"/>
    <hyperlink ref="H13" r:id="rId18"/>
    <hyperlink ref="I13" r:id="rId19"/>
    <hyperlink ref="H14" r:id="rId20"/>
    <hyperlink ref="I14" r:id="rId21"/>
    <hyperlink ref="H15" r:id="rId22"/>
    <hyperlink ref="I15" r:id="rId23"/>
    <hyperlink ref="H16" r:id="rId24"/>
    <hyperlink ref="I16" r:id="rId25"/>
    <hyperlink ref="H17" r:id="rId26"/>
    <hyperlink ref="I17" r:id="rId27"/>
    <hyperlink ref="H18" r:id="rId28"/>
    <hyperlink ref="I18" r:id="rId29"/>
    <hyperlink ref="H19" r:id="rId30"/>
    <hyperlink ref="I19" r:id="rId31"/>
    <hyperlink ref="H20" r:id="rId32"/>
    <hyperlink ref="I20" r:id="rId33"/>
    <hyperlink ref="H21" r:id="rId34"/>
    <hyperlink ref="I21" r:id="rId35"/>
    <hyperlink ref="H22" r:id="rId36"/>
    <hyperlink ref="I22" r:id="rId37"/>
    <hyperlink ref="H23" r:id="rId38"/>
    <hyperlink ref="I23" r:id="rId39"/>
    <hyperlink ref="H24" r:id="rId40"/>
    <hyperlink ref="I24" r:id="rId41"/>
    <hyperlink ref="H25" r:id="rId42"/>
    <hyperlink ref="I25" r:id="rId43"/>
    <hyperlink ref="H26" r:id="rId44"/>
    <hyperlink ref="I26" r:id="rId45"/>
    <hyperlink ref="H27" r:id="rId46"/>
    <hyperlink ref="I27" r:id="rId47"/>
    <hyperlink ref="H28" r:id="rId48"/>
    <hyperlink ref="I28" r:id="rId49"/>
    <hyperlink ref="H29" r:id="rId50"/>
    <hyperlink ref="I29" r:id="rId51"/>
    <hyperlink ref="H30" r:id="rId52"/>
    <hyperlink ref="I30" r:id="rId53"/>
    <hyperlink ref="H31" r:id="rId54"/>
    <hyperlink ref="I31" r:id="rId55"/>
    <hyperlink ref="H32" r:id="rId56"/>
    <hyperlink ref="I32" r:id="rId57"/>
    <hyperlink ref="H33" r:id="rId58"/>
    <hyperlink ref="I33" r:id="rId59"/>
    <hyperlink ref="H34" r:id="rId60"/>
    <hyperlink ref="I34" r:id="rId61"/>
    <hyperlink ref="H35" r:id="rId62"/>
    <hyperlink ref="I35" r:id="rId63"/>
    <hyperlink ref="H36" r:id="rId64"/>
    <hyperlink ref="I36" r:id="rId65"/>
    <hyperlink ref="H37" r:id="rId66"/>
    <hyperlink ref="I37" r:id="rId67"/>
    <hyperlink ref="H38" r:id="rId68"/>
    <hyperlink ref="I38" r:id="rId69"/>
    <hyperlink ref="H39" r:id="rId70"/>
    <hyperlink ref="I39" r:id="rId71"/>
    <hyperlink ref="H40" r:id="rId72"/>
    <hyperlink ref="I40" r:id="rId73"/>
    <hyperlink ref="H41" r:id="rId74"/>
    <hyperlink ref="I41" r:id="rId75"/>
    <hyperlink ref="H42" r:id="rId76"/>
    <hyperlink ref="I42" r:id="rId77"/>
    <hyperlink ref="H43" r:id="rId78"/>
    <hyperlink ref="I43" r:id="rId79"/>
    <hyperlink ref="H44" r:id="rId80"/>
    <hyperlink ref="I44" r:id="rId81"/>
    <hyperlink ref="H45" r:id="rId82"/>
    <hyperlink ref="I45" r:id="rId83"/>
    <hyperlink ref="H46" r:id="rId84"/>
    <hyperlink ref="I46" r:id="rId85"/>
    <hyperlink ref="H47" r:id="rId86"/>
    <hyperlink ref="I47" r:id="rId87"/>
    <hyperlink ref="H48" r:id="rId88"/>
    <hyperlink ref="I48" r:id="rId89"/>
    <hyperlink ref="H49" r:id="rId90"/>
    <hyperlink ref="I49" r:id="rId91"/>
    <hyperlink ref="H50" r:id="rId92"/>
    <hyperlink ref="I50" r:id="rId93"/>
    <hyperlink ref="H51" r:id="rId94"/>
    <hyperlink ref="I51" r:id="rId95"/>
    <hyperlink ref="H52" r:id="rId96"/>
    <hyperlink ref="I52" r:id="rId97"/>
  </hyperlinks>
  <pageMargins left="0.7" right="0.7" top="0.75" bottom="0.75" header="0.3" footer="0.3"/>
  <pageSetup paperSize="9" orientation="portrait" horizontalDpi="360" verticalDpi="360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100"/>
  <sheetViews>
    <sheetView workbookViewId="0" zoomScale="70" zoomScaleNormal="70">
      <selection activeCell="D29" sqref="D29"/>
    </sheetView>
  </sheetViews>
  <sheetFormatPr defaultRowHeight="15" outlineLevelRow="0" outlineLevelCol="0" x14ac:dyDescent="0.25"/>
  <cols>
    <col min="1" max="1" width="9.42578125" customWidth="1"/>
    <col min="2" max="2" width="39.5703125" customWidth="1"/>
    <col min="3" max="3" width="15" customWidth="1"/>
    <col min="4" max="4" width="30.140625" customWidth="1"/>
    <col min="5" max="5" width="23.7109375" customWidth="1"/>
    <col min="6" max="6" width="27.5703125" customWidth="1"/>
    <col min="7" max="7" width="44.5703125" customWidth="1"/>
    <col min="8" max="8" width="30.5703125" customWidth="1"/>
    <col min="9" max="9" width="67" customWidth="1"/>
    <col min="10" max="10" width="23.5703125" customWidth="1"/>
    <col min="11" max="11" width="25.85546875" customWidth="1"/>
    <col min="12" max="12" width="24.85546875" customWidth="1"/>
    <col min="13" max="13" width="26.7109375" customWidth="1"/>
    <col min="14" max="14" width="22.85546875" customWidth="1"/>
    <col min="15" max="16" width="17.42578125" customWidth="1"/>
    <col min="17" max="17" width="13.42578125" customWidth="1"/>
    <col min="18" max="18" width="13" customWidth="1"/>
    <col min="19" max="19" width="18.28515625" customWidth="1"/>
    <col min="20" max="20" width="17.5703125" customWidth="1"/>
    <col min="21" max="21" width="19.140625" customWidth="1"/>
    <col min="23" max="23" width="21" customWidth="1"/>
  </cols>
  <sheetData>
    <row r="2" ht="15.75" customHeight="1" x14ac:dyDescent="0.25"/>
    <row r="3" ht="29.25" customHeight="1" spans="2:21" x14ac:dyDescent="0.25">
      <c r="B3" s="1" t="s">
        <v>0</v>
      </c>
      <c r="C3" s="2" t="s">
        <v>58</v>
      </c>
      <c r="D3" s="2" t="s">
        <v>59</v>
      </c>
      <c r="E3" s="2" t="s">
        <v>53</v>
      </c>
      <c r="F3" s="2" t="s">
        <v>3</v>
      </c>
      <c r="G3" s="2" t="s">
        <v>4</v>
      </c>
      <c r="H3" s="2" t="s">
        <v>60</v>
      </c>
      <c r="I3" s="2" t="s">
        <v>6</v>
      </c>
      <c r="J3" s="2" t="s">
        <v>7</v>
      </c>
      <c r="K3" s="2" t="s">
        <v>61</v>
      </c>
      <c r="L3" s="2" t="s">
        <v>9</v>
      </c>
      <c r="M3" s="2" t="s">
        <v>10</v>
      </c>
      <c r="N3" s="2" t="s">
        <v>62</v>
      </c>
      <c r="O3" s="2" t="s">
        <v>11</v>
      </c>
      <c r="P3" s="2" t="s">
        <v>12</v>
      </c>
      <c r="Q3" s="44" t="s">
        <v>64</v>
      </c>
      <c r="R3" s="45" t="s">
        <v>13</v>
      </c>
      <c r="S3" s="45" t="s">
        <v>65</v>
      </c>
      <c r="U3" s="4" t="s">
        <v>14</v>
      </c>
    </row>
    <row r="4" ht="32.25" customHeight="1" spans="2:21" x14ac:dyDescent="0.25">
      <c r="B4" s="55" t="s">
        <v>477</v>
      </c>
      <c r="C4" s="85" t="s">
        <v>66</v>
      </c>
      <c r="D4" s="7" t="s">
        <v>66</v>
      </c>
      <c r="E4" s="61" t="s">
        <v>478</v>
      </c>
      <c r="F4" s="55" t="s">
        <v>21</v>
      </c>
      <c r="G4" s="61" t="s">
        <v>479</v>
      </c>
      <c r="H4" s="47" t="s">
        <v>157</v>
      </c>
      <c r="I4" s="10" t="s">
        <v>480</v>
      </c>
      <c r="J4" s="12">
        <v>35.96</v>
      </c>
      <c r="K4" s="13">
        <f>J4*$U$4</f>
        <v>129.45600000000002</v>
      </c>
      <c r="L4" s="13"/>
      <c r="M4" s="13"/>
      <c r="N4" s="13"/>
      <c r="O4" s="15"/>
      <c r="P4" s="8"/>
      <c r="Q4" s="46"/>
      <c r="R4" s="8"/>
      <c r="S4" s="36"/>
      <c r="U4" s="8">
        <v>3.4</v>
      </c>
    </row>
    <row r="5" ht="30" customHeight="1" spans="2:21" x14ac:dyDescent="0.25">
      <c r="B5" s="86" t="s">
        <v>481</v>
      </c>
      <c r="C5" s="85" t="s">
        <v>66</v>
      </c>
      <c r="D5" s="7" t="s">
        <v>66</v>
      </c>
      <c r="E5" s="61" t="s">
        <v>482</v>
      </c>
      <c r="F5" s="8" t="s">
        <v>16</v>
      </c>
      <c r="G5" s="61" t="s">
        <v>483</v>
      </c>
      <c r="H5" s="47" t="s">
        <v>484</v>
      </c>
      <c r="I5" s="10" t="s">
        <v>485</v>
      </c>
      <c r="J5" s="12">
        <v>94.78</v>
      </c>
      <c r="K5" s="13">
        <f>J5*$U$4</f>
        <v>341.208</v>
      </c>
      <c r="L5" s="13"/>
      <c r="M5" s="13"/>
      <c r="N5" s="13"/>
      <c r="O5" s="15"/>
      <c r="P5" s="8"/>
      <c r="Q5" s="46"/>
      <c r="R5" s="8"/>
      <c r="S5" s="36"/>
      <c r="U5" s="20"/>
    </row>
    <row r="6" ht="30" customHeight="1" spans="2:21" x14ac:dyDescent="0.25">
      <c r="B6" s="55" t="s">
        <v>486</v>
      </c>
      <c r="C6" s="85" t="s">
        <v>66</v>
      </c>
      <c r="D6" s="7" t="s">
        <v>66</v>
      </c>
      <c r="E6" s="61" t="s">
        <v>487</v>
      </c>
      <c r="F6" s="8" t="s">
        <v>130</v>
      </c>
      <c r="G6" s="79" t="s">
        <v>488</v>
      </c>
      <c r="H6" s="47" t="s">
        <v>265</v>
      </c>
      <c r="I6" s="10" t="s">
        <v>489</v>
      </c>
      <c r="J6" s="12">
        <v>27</v>
      </c>
      <c r="K6" s="13">
        <f>J6*$U$4</f>
        <v>97.2</v>
      </c>
      <c r="L6" s="13"/>
      <c r="M6" s="13"/>
      <c r="N6" s="13"/>
      <c r="O6" s="15"/>
      <c r="P6" s="8"/>
      <c r="Q6" s="46"/>
      <c r="R6" s="8"/>
      <c r="S6" s="36"/>
      <c r="U6" s="20"/>
    </row>
    <row r="7" ht="30" customHeight="1" spans="2:21" x14ac:dyDescent="0.25">
      <c r="B7" s="55" t="s">
        <v>490</v>
      </c>
      <c r="C7" s="85" t="s">
        <v>66</v>
      </c>
      <c r="D7" s="7" t="s">
        <v>66</v>
      </c>
      <c r="E7" s="61" t="s">
        <v>491</v>
      </c>
      <c r="F7" s="8" t="s">
        <v>16</v>
      </c>
      <c r="G7" s="79" t="s">
        <v>492</v>
      </c>
      <c r="H7" s="47" t="s">
        <v>278</v>
      </c>
      <c r="I7" s="10" t="s">
        <v>493</v>
      </c>
      <c r="J7" s="12">
        <v>79</v>
      </c>
      <c r="K7" s="13">
        <f>J7*$U$4</f>
        <v>284.40000000000003</v>
      </c>
      <c r="L7" s="13"/>
      <c r="M7" s="13"/>
      <c r="N7" s="13"/>
      <c r="O7" s="15"/>
      <c r="P7" s="8"/>
      <c r="Q7" s="46"/>
      <c r="R7" s="8"/>
      <c r="S7" s="36"/>
      <c r="U7" s="22"/>
    </row>
    <row r="8" ht="30" customHeight="1" spans="2:21" x14ac:dyDescent="0.25">
      <c r="B8" s="86" t="s">
        <v>494</v>
      </c>
      <c r="C8" s="85" t="s">
        <v>66</v>
      </c>
      <c r="D8" s="83" t="s">
        <v>66</v>
      </c>
      <c r="E8" s="61" t="s">
        <v>495</v>
      </c>
      <c r="F8" s="55" t="s">
        <v>21</v>
      </c>
      <c r="G8" s="57" t="s">
        <v>496</v>
      </c>
      <c r="H8" s="47" t="s">
        <v>137</v>
      </c>
      <c r="I8" s="10" t="s">
        <v>497</v>
      </c>
      <c r="J8" s="12">
        <v>76</v>
      </c>
      <c r="K8" s="13">
        <f>J8*$U$4</f>
        <v>273.6</v>
      </c>
      <c r="L8" s="13"/>
      <c r="M8" s="13"/>
      <c r="N8" s="13"/>
      <c r="O8" s="15"/>
      <c r="P8" s="8"/>
      <c r="Q8" s="46"/>
      <c r="R8" s="8"/>
      <c r="S8" s="36"/>
      <c r="U8" s="23"/>
    </row>
    <row r="9" spans="2:21" x14ac:dyDescent="0.25">
      <c r="B9" s="8" t="s">
        <v>498</v>
      </c>
      <c r="C9" s="8" t="s">
        <v>66</v>
      </c>
      <c r="D9" s="8" t="s">
        <v>66</v>
      </c>
      <c r="E9" s="36" t="s">
        <v>499</v>
      </c>
      <c r="F9" s="36" t="s">
        <v>469</v>
      </c>
      <c r="G9" s="36" t="s">
        <v>500</v>
      </c>
      <c r="H9" s="36" t="s">
        <v>465</v>
      </c>
      <c r="I9" s="36" t="s">
        <v>501</v>
      </c>
      <c r="J9" s="36">
        <v>92.99</v>
      </c>
      <c r="K9" s="36">
        <f>J9*$U$4</f>
        <v>316.166</v>
      </c>
      <c r="L9" s="13"/>
      <c r="M9" s="13"/>
      <c r="N9" s="13"/>
      <c r="O9" s="15"/>
      <c r="P9" s="8">
        <v>1</v>
      </c>
      <c r="Q9" s="46"/>
      <c r="R9" s="8"/>
      <c r="S9" s="36"/>
      <c r="U9" s="20"/>
    </row>
    <row r="10" spans="2:21" s="62" customFormat="1" x14ac:dyDescent="0.25">
      <c r="B10" s="55" t="s">
        <v>502</v>
      </c>
      <c r="C10" s="8" t="s">
        <v>66</v>
      </c>
      <c r="D10" s="7" t="s">
        <v>66</v>
      </c>
      <c r="E10" s="61" t="s">
        <v>503</v>
      </c>
      <c r="F10" s="8" t="s">
        <v>469</v>
      </c>
      <c r="G10" s="9" t="s">
        <v>504</v>
      </c>
      <c r="H10" s="47" t="s">
        <v>465</v>
      </c>
      <c r="I10" s="10" t="s">
        <v>505</v>
      </c>
      <c r="J10" s="12">
        <v>82.99</v>
      </c>
      <c r="K10" s="13">
        <f t="shared" ref="K10:K46" si="0">J10*$U$4</f>
        <v>282.166</v>
      </c>
      <c r="L10" s="64"/>
      <c r="M10" s="64"/>
      <c r="N10" s="64"/>
      <c r="O10" s="15"/>
      <c r="P10" s="8">
        <v>1</v>
      </c>
      <c r="Q10" s="65"/>
      <c r="R10" s="66"/>
      <c r="S10" s="66"/>
      <c r="U10" s="20"/>
    </row>
    <row r="11" spans="2:21" x14ac:dyDescent="0.25">
      <c r="B11" s="55" t="s">
        <v>506</v>
      </c>
      <c r="C11" s="8" t="s">
        <v>66</v>
      </c>
      <c r="D11" s="7" t="s">
        <v>66</v>
      </c>
      <c r="E11" s="61" t="s">
        <v>507</v>
      </c>
      <c r="F11" s="8" t="s">
        <v>130</v>
      </c>
      <c r="G11" s="9" t="s">
        <v>508</v>
      </c>
      <c r="H11" s="47" t="s">
        <v>509</v>
      </c>
      <c r="I11" s="10" t="s">
        <v>510</v>
      </c>
      <c r="J11" s="12">
        <v>89.95</v>
      </c>
      <c r="K11" s="13">
        <f>J11*$U$4</f>
        <v>305.83</v>
      </c>
      <c r="L11" s="13">
        <v>850</v>
      </c>
      <c r="M11" s="13"/>
      <c r="N11" s="13"/>
      <c r="O11" s="15"/>
      <c r="P11" s="8">
        <v>1</v>
      </c>
      <c r="Q11" s="46">
        <v>899</v>
      </c>
      <c r="R11" s="36"/>
      <c r="S11" s="36"/>
      <c r="U11" s="24"/>
    </row>
    <row r="12" spans="2:21" x14ac:dyDescent="0.25">
      <c r="B12" s="55" t="s">
        <v>511</v>
      </c>
      <c r="C12" s="8" t="s">
        <v>66</v>
      </c>
      <c r="D12" s="7" t="s">
        <v>66</v>
      </c>
      <c r="E12" s="61" t="s">
        <v>512</v>
      </c>
      <c r="F12" s="8" t="s">
        <v>21</v>
      </c>
      <c r="G12" s="9" t="s">
        <v>513</v>
      </c>
      <c r="H12" s="47" t="s">
        <v>509</v>
      </c>
      <c r="I12" s="10" t="s">
        <v>514</v>
      </c>
      <c r="J12" s="12">
        <v>110</v>
      </c>
      <c r="K12" s="13">
        <f>J12*$U$4</f>
        <v>374</v>
      </c>
      <c r="L12" s="13">
        <v>750</v>
      </c>
      <c r="M12" s="13"/>
      <c r="N12" s="13"/>
      <c r="O12" s="15"/>
      <c r="P12" s="8">
        <v>1</v>
      </c>
      <c r="Q12" s="46">
        <v>799</v>
      </c>
      <c r="R12" s="36"/>
      <c r="S12" s="36"/>
      <c r="U12" s="23"/>
    </row>
    <row r="13" spans="2:21" x14ac:dyDescent="0.25">
      <c r="B13" s="55" t="s">
        <v>515</v>
      </c>
      <c r="C13" s="8" t="s">
        <v>66</v>
      </c>
      <c r="D13" s="7" t="s">
        <v>66</v>
      </c>
      <c r="E13" s="61" t="s">
        <v>516</v>
      </c>
      <c r="F13" s="8" t="s">
        <v>130</v>
      </c>
      <c r="G13" s="9" t="s">
        <v>517</v>
      </c>
      <c r="H13" s="47" t="s">
        <v>465</v>
      </c>
      <c r="I13" s="10" t="s">
        <v>518</v>
      </c>
      <c r="J13" s="12">
        <v>89.95</v>
      </c>
      <c r="K13" s="13">
        <f>J13*$U$4</f>
        <v>305.83</v>
      </c>
      <c r="L13" s="13"/>
      <c r="M13" s="13"/>
      <c r="N13" s="13"/>
      <c r="O13" s="15"/>
      <c r="P13" s="8">
        <v>1</v>
      </c>
      <c r="Q13" s="46"/>
      <c r="R13" s="36"/>
      <c r="S13" s="36"/>
      <c r="U13" s="20"/>
    </row>
    <row r="14" spans="2:21" x14ac:dyDescent="0.25">
      <c r="B14" s="55" t="s">
        <v>519</v>
      </c>
      <c r="C14" s="8" t="s">
        <v>66</v>
      </c>
      <c r="D14" s="7" t="s">
        <v>66</v>
      </c>
      <c r="E14" s="61" t="s">
        <v>520</v>
      </c>
      <c r="F14" s="8" t="s">
        <v>130</v>
      </c>
      <c r="G14" s="9" t="s">
        <v>521</v>
      </c>
      <c r="H14" s="47" t="s">
        <v>465</v>
      </c>
      <c r="I14" s="10" t="s">
        <v>522</v>
      </c>
      <c r="J14" s="12">
        <v>89.95</v>
      </c>
      <c r="K14" s="13">
        <f>J14*$U$4</f>
        <v>305.83</v>
      </c>
      <c r="L14" s="13"/>
      <c r="M14" s="13"/>
      <c r="N14" s="13"/>
      <c r="O14" s="15"/>
      <c r="P14" s="8">
        <v>1</v>
      </c>
      <c r="Q14" s="46"/>
      <c r="R14" s="36"/>
      <c r="S14" s="36"/>
      <c r="U14" s="20"/>
    </row>
    <row r="15" spans="2:21" x14ac:dyDescent="0.25">
      <c r="B15" s="55" t="s">
        <v>523</v>
      </c>
      <c r="C15" s="8" t="s">
        <v>66</v>
      </c>
      <c r="D15" s="7" t="s">
        <v>356</v>
      </c>
      <c r="E15" s="61" t="s">
        <v>524</v>
      </c>
      <c r="F15" s="8" t="s">
        <v>21</v>
      </c>
      <c r="G15" s="9" t="s">
        <v>525</v>
      </c>
      <c r="H15" s="47" t="s">
        <v>465</v>
      </c>
      <c r="I15" s="10" t="s">
        <v>526</v>
      </c>
      <c r="J15" s="12">
        <v>100</v>
      </c>
      <c r="K15" s="13">
        <f>J15*$U$4</f>
        <v>340</v>
      </c>
      <c r="L15" s="13"/>
      <c r="M15" s="13"/>
      <c r="N15" s="13"/>
      <c r="O15" s="15"/>
      <c r="P15" s="8">
        <v>1</v>
      </c>
      <c r="Q15" s="46"/>
      <c r="R15" s="36"/>
      <c r="S15" s="36"/>
      <c r="U15" s="40"/>
    </row>
    <row r="16" spans="2:21" x14ac:dyDescent="0.25">
      <c r="B16" s="55" t="s">
        <v>527</v>
      </c>
      <c r="C16" s="8" t="s">
        <v>66</v>
      </c>
      <c r="D16" s="7" t="s">
        <v>66</v>
      </c>
      <c r="E16" s="61" t="s">
        <v>528</v>
      </c>
      <c r="F16" s="8" t="s">
        <v>130</v>
      </c>
      <c r="G16" s="9" t="s">
        <v>529</v>
      </c>
      <c r="H16" s="47" t="s">
        <v>465</v>
      </c>
      <c r="I16" s="10" t="s">
        <v>530</v>
      </c>
      <c r="J16" s="12">
        <v>45</v>
      </c>
      <c r="K16" s="13">
        <f>J16*$U$4</f>
        <v>153</v>
      </c>
      <c r="L16" s="13"/>
      <c r="M16" s="13"/>
      <c r="N16" s="13"/>
      <c r="O16" s="15"/>
      <c r="P16" s="8">
        <v>1</v>
      </c>
      <c r="Q16" s="46"/>
      <c r="R16" s="36"/>
      <c r="S16" s="36"/>
      <c r="U16" s="23"/>
    </row>
    <row r="17" spans="2:19" x14ac:dyDescent="0.25">
      <c r="B17" s="55" t="s">
        <v>531</v>
      </c>
      <c r="C17" s="8" t="s">
        <v>66</v>
      </c>
      <c r="D17" s="7" t="s">
        <v>532</v>
      </c>
      <c r="E17" s="61" t="s">
        <v>533</v>
      </c>
      <c r="F17" s="8" t="s">
        <v>21</v>
      </c>
      <c r="G17" s="61" t="s">
        <v>534</v>
      </c>
      <c r="H17" s="47" t="s">
        <v>465</v>
      </c>
      <c r="I17" s="10" t="s">
        <v>535</v>
      </c>
      <c r="J17" s="12">
        <v>90</v>
      </c>
      <c r="K17" s="13">
        <f>J17*$U$4</f>
        <v>306</v>
      </c>
      <c r="L17" s="13"/>
      <c r="M17" s="13"/>
      <c r="N17" s="13"/>
      <c r="O17" s="15"/>
      <c r="P17" s="8">
        <v>1</v>
      </c>
      <c r="Q17" s="46"/>
      <c r="R17" s="36"/>
      <c r="S17" s="36"/>
    </row>
    <row r="18" spans="2:19" x14ac:dyDescent="0.25">
      <c r="B18" s="55" t="s">
        <v>536</v>
      </c>
      <c r="C18" s="8" t="s">
        <v>66</v>
      </c>
      <c r="D18" s="7" t="s">
        <v>532</v>
      </c>
      <c r="E18" s="61" t="s">
        <v>537</v>
      </c>
      <c r="F18" s="8" t="s">
        <v>469</v>
      </c>
      <c r="G18" s="61" t="s">
        <v>538</v>
      </c>
      <c r="H18" s="47" t="s">
        <v>465</v>
      </c>
      <c r="I18" s="10" t="s">
        <v>539</v>
      </c>
      <c r="J18" s="12">
        <v>109.99</v>
      </c>
      <c r="K18" s="13">
        <f>J18*$U$4</f>
        <v>373.96599999999995</v>
      </c>
      <c r="L18" s="13"/>
      <c r="M18" s="13"/>
      <c r="N18" s="13"/>
      <c r="O18" s="15"/>
      <c r="P18" s="8">
        <v>1</v>
      </c>
      <c r="Q18" s="46"/>
      <c r="R18" s="36"/>
      <c r="S18" s="36"/>
    </row>
    <row r="19" spans="2:19" x14ac:dyDescent="0.25">
      <c r="B19" s="55" t="s">
        <v>540</v>
      </c>
      <c r="C19" s="8" t="s">
        <v>66</v>
      </c>
      <c r="D19" s="7" t="s">
        <v>532</v>
      </c>
      <c r="E19" s="61" t="s">
        <v>541</v>
      </c>
      <c r="F19" s="8" t="s">
        <v>21</v>
      </c>
      <c r="G19" s="9" t="s">
        <v>542</v>
      </c>
      <c r="H19" s="47" t="s">
        <v>465</v>
      </c>
      <c r="I19" s="10" t="s">
        <v>543</v>
      </c>
      <c r="J19" s="12">
        <v>100</v>
      </c>
      <c r="K19" s="13">
        <f>J19*$U$4</f>
        <v>340</v>
      </c>
      <c r="L19" s="13"/>
      <c r="M19" s="13"/>
      <c r="N19" s="13"/>
      <c r="O19" s="15"/>
      <c r="P19" s="8">
        <v>1</v>
      </c>
      <c r="Q19" s="46"/>
      <c r="R19" s="36"/>
      <c r="S19" s="36"/>
    </row>
    <row r="20" spans="2:19" x14ac:dyDescent="0.25">
      <c r="B20" s="55" t="s">
        <v>544</v>
      </c>
      <c r="C20" s="8" t="s">
        <v>66</v>
      </c>
      <c r="D20" s="7" t="s">
        <v>356</v>
      </c>
      <c r="E20" s="61" t="s">
        <v>545</v>
      </c>
      <c r="F20" s="8" t="s">
        <v>469</v>
      </c>
      <c r="G20" s="9" t="s">
        <v>546</v>
      </c>
      <c r="H20" s="47" t="s">
        <v>465</v>
      </c>
      <c r="I20" s="10" t="s">
        <v>547</v>
      </c>
      <c r="J20" s="12">
        <v>200</v>
      </c>
      <c r="K20" s="13">
        <f>J20*$U$4</f>
        <v>680</v>
      </c>
      <c r="L20" s="13"/>
      <c r="M20" s="13"/>
      <c r="N20" s="13"/>
      <c r="O20" s="15"/>
      <c r="P20" s="8">
        <v>1</v>
      </c>
      <c r="Q20" s="46"/>
      <c r="R20" s="36"/>
      <c r="S20" s="36"/>
    </row>
    <row r="21" spans="2:19" x14ac:dyDescent="0.25">
      <c r="B21" s="55" t="s">
        <v>548</v>
      </c>
      <c r="C21" s="8" t="s">
        <v>66</v>
      </c>
      <c r="D21" s="7" t="s">
        <v>532</v>
      </c>
      <c r="E21" s="61" t="s">
        <v>549</v>
      </c>
      <c r="F21" s="8" t="s">
        <v>130</v>
      </c>
      <c r="G21" s="9" t="s">
        <v>550</v>
      </c>
      <c r="H21" s="47" t="s">
        <v>465</v>
      </c>
      <c r="I21" s="10" t="s">
        <v>551</v>
      </c>
      <c r="J21" s="12">
        <v>30</v>
      </c>
      <c r="K21" s="13">
        <f>J21*$U$4</f>
        <v>102</v>
      </c>
      <c r="L21" s="13"/>
      <c r="M21" s="13"/>
      <c r="N21" s="13"/>
      <c r="O21" s="15">
        <f>L21-K21-N21</f>
        <v>0</v>
      </c>
      <c r="P21" s="8">
        <v>1</v>
      </c>
      <c r="Q21" s="46"/>
      <c r="R21" s="36"/>
      <c r="S21" s="36"/>
    </row>
    <row r="22" spans="2:19" x14ac:dyDescent="0.25">
      <c r="B22" s="55" t="s">
        <v>552</v>
      </c>
      <c r="C22" s="8" t="s">
        <v>66</v>
      </c>
      <c r="D22" s="7" t="s">
        <v>66</v>
      </c>
      <c r="E22" s="61" t="s">
        <v>553</v>
      </c>
      <c r="F22" s="8" t="s">
        <v>21</v>
      </c>
      <c r="G22" s="9" t="s">
        <v>464</v>
      </c>
      <c r="H22" s="47" t="s">
        <v>465</v>
      </c>
      <c r="I22" s="10" t="s">
        <v>554</v>
      </c>
      <c r="J22" s="12">
        <v>45</v>
      </c>
      <c r="K22" s="13">
        <f>J22*$U$4</f>
        <v>153</v>
      </c>
      <c r="L22" s="13"/>
      <c r="M22" s="13"/>
      <c r="N22" s="13"/>
      <c r="O22" s="15">
        <f>L22-K22-N22</f>
        <v>0</v>
      </c>
      <c r="P22" s="8">
        <v>1</v>
      </c>
      <c r="Q22" s="46"/>
      <c r="R22" s="36"/>
      <c r="S22" s="36"/>
    </row>
    <row r="23" spans="2:19" x14ac:dyDescent="0.25">
      <c r="B23" s="55" t="s">
        <v>555</v>
      </c>
      <c r="C23" s="8" t="s">
        <v>66</v>
      </c>
      <c r="D23" s="7" t="s">
        <v>532</v>
      </c>
      <c r="E23" s="61" t="s">
        <v>556</v>
      </c>
      <c r="F23" s="8" t="s">
        <v>21</v>
      </c>
      <c r="G23" s="9" t="s">
        <v>557</v>
      </c>
      <c r="H23" s="47" t="s">
        <v>465</v>
      </c>
      <c r="I23" s="10" t="s">
        <v>558</v>
      </c>
      <c r="J23" s="12">
        <v>95</v>
      </c>
      <c r="K23" s="13">
        <f>J23*$U$4</f>
        <v>323</v>
      </c>
      <c r="L23" s="13"/>
      <c r="M23" s="13"/>
      <c r="N23" s="13"/>
      <c r="O23" s="15">
        <f>L23-K23-N23</f>
        <v>0</v>
      </c>
      <c r="P23" s="8">
        <v>1</v>
      </c>
      <c r="Q23" s="46"/>
      <c r="R23" s="36"/>
      <c r="S23" s="36"/>
    </row>
    <row r="24" spans="2:19" x14ac:dyDescent="0.25">
      <c r="B24" s="55" t="s">
        <v>559</v>
      </c>
      <c r="C24" s="8" t="s">
        <v>66</v>
      </c>
      <c r="D24" s="8" t="s">
        <v>532</v>
      </c>
      <c r="E24" s="61" t="s">
        <v>560</v>
      </c>
      <c r="F24" s="8" t="s">
        <v>469</v>
      </c>
      <c r="G24" s="8" t="s">
        <v>561</v>
      </c>
      <c r="H24" s="47" t="s">
        <v>465</v>
      </c>
      <c r="I24" s="10" t="s">
        <v>562</v>
      </c>
      <c r="J24" s="12">
        <v>119.85</v>
      </c>
      <c r="K24" s="13">
        <f>J24*$U$4</f>
        <v>407.48999999999995</v>
      </c>
      <c r="L24" s="36"/>
      <c r="M24" s="67"/>
      <c r="N24" s="67">
        <f>SUM(L4:L23)</f>
        <v>0</v>
      </c>
      <c r="O24" s="36"/>
      <c r="P24" s="36">
        <v>1</v>
      </c>
      <c r="Q24" s="67">
        <f>SUM(O4:O23)</f>
        <v>0</v>
      </c>
      <c r="R24" s="36"/>
      <c r="S24" s="36"/>
    </row>
    <row r="25" spans="2:19" x14ac:dyDescent="0.25">
      <c r="B25" s="55" t="s">
        <v>563</v>
      </c>
      <c r="C25" s="8" t="s">
        <v>66</v>
      </c>
      <c r="D25" s="8" t="s">
        <v>532</v>
      </c>
      <c r="E25" s="61" t="s">
        <v>564</v>
      </c>
      <c r="F25" s="8" t="s">
        <v>130</v>
      </c>
      <c r="G25" s="61" t="s">
        <v>565</v>
      </c>
      <c r="H25" s="47" t="s">
        <v>465</v>
      </c>
      <c r="I25" s="10" t="s">
        <v>566</v>
      </c>
      <c r="J25" s="12">
        <v>260</v>
      </c>
      <c r="K25" s="13">
        <f>J25*$U$4</f>
        <v>884</v>
      </c>
      <c r="L25" s="36"/>
      <c r="M25" s="36"/>
      <c r="N25" s="36"/>
      <c r="O25" s="36"/>
      <c r="P25" s="36">
        <v>1</v>
      </c>
      <c r="Q25" s="36"/>
      <c r="R25" s="36"/>
      <c r="S25" s="36"/>
    </row>
    <row r="26" spans="2:19" x14ac:dyDescent="0.25">
      <c r="B26" s="55" t="s">
        <v>567</v>
      </c>
      <c r="C26" s="8" t="s">
        <v>66</v>
      </c>
      <c r="D26" s="8" t="s">
        <v>356</v>
      </c>
      <c r="E26" s="61" t="s">
        <v>568</v>
      </c>
      <c r="F26" s="8" t="s">
        <v>130</v>
      </c>
      <c r="G26" s="61" t="s">
        <v>569</v>
      </c>
      <c r="H26" s="47" t="s">
        <v>465</v>
      </c>
      <c r="I26" s="10" t="s">
        <v>570</v>
      </c>
      <c r="J26" s="12">
        <v>160</v>
      </c>
      <c r="K26" s="13">
        <f>J26*$U$4</f>
        <v>544</v>
      </c>
      <c r="L26" s="36"/>
      <c r="M26" s="36"/>
      <c r="N26" s="36"/>
      <c r="O26" s="36"/>
      <c r="P26" s="36">
        <v>1</v>
      </c>
      <c r="Q26" s="36"/>
      <c r="R26" s="36"/>
      <c r="S26" s="36"/>
    </row>
    <row r="27" ht="29.25" customHeight="1" spans="2:19" x14ac:dyDescent="0.25">
      <c r="B27" s="55" t="s">
        <v>571</v>
      </c>
      <c r="C27" s="8" t="s">
        <v>66</v>
      </c>
      <c r="D27" s="8" t="s">
        <v>356</v>
      </c>
      <c r="E27" s="61" t="s">
        <v>572</v>
      </c>
      <c r="F27" s="8" t="s">
        <v>469</v>
      </c>
      <c r="G27" s="8" t="s">
        <v>573</v>
      </c>
      <c r="H27" s="47" t="s">
        <v>465</v>
      </c>
      <c r="I27" s="10" t="s">
        <v>574</v>
      </c>
      <c r="J27" s="12">
        <v>270</v>
      </c>
      <c r="K27" s="13">
        <f>J27*$U$4</f>
        <v>918</v>
      </c>
      <c r="L27" s="36"/>
      <c r="M27" s="36"/>
      <c r="N27" s="36"/>
      <c r="O27" s="36"/>
      <c r="P27" s="36">
        <v>1</v>
      </c>
      <c r="Q27" s="36"/>
      <c r="R27" s="36"/>
      <c r="S27" s="36"/>
    </row>
    <row r="28" spans="2:19" x14ac:dyDescent="0.25">
      <c r="B28" s="55" t="s">
        <v>575</v>
      </c>
      <c r="C28" s="8" t="s">
        <v>66</v>
      </c>
      <c r="D28" s="8" t="s">
        <v>532</v>
      </c>
      <c r="E28" s="61" t="s">
        <v>576</v>
      </c>
      <c r="F28" s="8" t="s">
        <v>130</v>
      </c>
      <c r="G28" s="8" t="s">
        <v>577</v>
      </c>
      <c r="H28" s="47" t="s">
        <v>465</v>
      </c>
      <c r="I28" s="10" t="s">
        <v>518</v>
      </c>
      <c r="J28" s="12">
        <v>89.95</v>
      </c>
      <c r="K28" s="13">
        <f>J28*$U$4</f>
        <v>305.83</v>
      </c>
      <c r="L28" s="36"/>
      <c r="M28" s="36"/>
      <c r="N28" s="36"/>
      <c r="O28" s="36"/>
      <c r="P28" s="36">
        <v>1</v>
      </c>
      <c r="Q28" s="36"/>
      <c r="R28" s="36"/>
      <c r="S28" s="36"/>
    </row>
    <row r="29" spans="2:19" x14ac:dyDescent="0.25">
      <c r="B29" s="55" t="s">
        <v>578</v>
      </c>
      <c r="C29" s="8" t="s">
        <v>66</v>
      </c>
      <c r="D29" s="8" t="s">
        <v>356</v>
      </c>
      <c r="E29" s="61" t="s">
        <v>579</v>
      </c>
      <c r="F29" s="8" t="s">
        <v>469</v>
      </c>
      <c r="G29" s="61" t="s">
        <v>580</v>
      </c>
      <c r="H29" s="47" t="s">
        <v>465</v>
      </c>
      <c r="I29" s="10" t="s">
        <v>581</v>
      </c>
      <c r="J29" s="12">
        <v>280</v>
      </c>
      <c r="K29" s="13">
        <f>J29*$U$4</f>
        <v>952</v>
      </c>
      <c r="L29" s="36"/>
      <c r="M29" s="36"/>
      <c r="N29" s="36"/>
      <c r="O29" s="36"/>
      <c r="P29" s="36">
        <v>1</v>
      </c>
      <c r="Q29" s="36"/>
      <c r="R29" s="36"/>
      <c r="S29" s="36"/>
    </row>
    <row r="30" spans="2:19" x14ac:dyDescent="0.25">
      <c r="B30" s="55" t="s">
        <v>582</v>
      </c>
      <c r="C30" s="8" t="s">
        <v>66</v>
      </c>
      <c r="D30" s="8" t="s">
        <v>532</v>
      </c>
      <c r="E30" s="61" t="s">
        <v>583</v>
      </c>
      <c r="F30" s="8" t="s">
        <v>130</v>
      </c>
      <c r="G30" s="61" t="s">
        <v>584</v>
      </c>
      <c r="H30" s="47" t="s">
        <v>465</v>
      </c>
      <c r="I30" s="10" t="s">
        <v>518</v>
      </c>
      <c r="J30" s="12">
        <v>89.95</v>
      </c>
      <c r="K30" s="13">
        <f>J30*$U$4</f>
        <v>305.83</v>
      </c>
      <c r="L30" s="36"/>
      <c r="M30" s="36"/>
      <c r="N30" s="36"/>
      <c r="O30" s="36"/>
      <c r="P30" s="36">
        <v>1</v>
      </c>
      <c r="Q30" s="36"/>
      <c r="R30" s="36"/>
      <c r="S30" s="36"/>
    </row>
    <row r="31" ht="30.75" customHeight="1" spans="2:19" x14ac:dyDescent="0.25">
      <c r="B31" s="55" t="s">
        <v>585</v>
      </c>
      <c r="C31" s="8" t="s">
        <v>66</v>
      </c>
      <c r="D31" s="8" t="s">
        <v>532</v>
      </c>
      <c r="E31" s="61" t="s">
        <v>586</v>
      </c>
      <c r="F31" s="8" t="s">
        <v>130</v>
      </c>
      <c r="G31" s="8" t="s">
        <v>587</v>
      </c>
      <c r="H31" s="47" t="s">
        <v>465</v>
      </c>
      <c r="I31" s="10" t="s">
        <v>518</v>
      </c>
      <c r="J31" s="12">
        <v>89.95</v>
      </c>
      <c r="K31" s="13">
        <f>J31*$U$4</f>
        <v>305.83</v>
      </c>
      <c r="L31" s="36"/>
      <c r="M31" s="36"/>
      <c r="N31" s="36"/>
      <c r="O31" s="36"/>
      <c r="P31" s="36">
        <v>1</v>
      </c>
      <c r="Q31" s="36"/>
      <c r="R31" s="36"/>
      <c r="S31" s="36"/>
    </row>
    <row r="32" spans="2:19" x14ac:dyDescent="0.25">
      <c r="B32" s="55" t="s">
        <v>588</v>
      </c>
      <c r="C32" s="8" t="s">
        <v>66</v>
      </c>
      <c r="D32" s="8" t="s">
        <v>356</v>
      </c>
      <c r="E32" s="61" t="s">
        <v>589</v>
      </c>
      <c r="F32" s="8" t="s">
        <v>130</v>
      </c>
      <c r="G32" s="8" t="s">
        <v>590</v>
      </c>
      <c r="H32" s="47" t="s">
        <v>465</v>
      </c>
      <c r="I32" s="10" t="s">
        <v>591</v>
      </c>
      <c r="J32" s="12">
        <v>185</v>
      </c>
      <c r="K32" s="13">
        <f>J32*$U$4</f>
        <v>629</v>
      </c>
      <c r="L32" s="36"/>
      <c r="M32" s="36"/>
      <c r="N32" s="36"/>
      <c r="O32" s="36"/>
      <c r="P32" s="36">
        <v>1</v>
      </c>
      <c r="Q32" s="36"/>
      <c r="R32" s="36"/>
      <c r="S32" s="36"/>
    </row>
    <row r="33" spans="2:19" x14ac:dyDescent="0.25">
      <c r="B33" s="55" t="s">
        <v>592</v>
      </c>
      <c r="C33" s="8" t="s">
        <v>66</v>
      </c>
      <c r="D33" s="8" t="s">
        <v>356</v>
      </c>
      <c r="E33" s="61" t="s">
        <v>593</v>
      </c>
      <c r="F33" s="8" t="s">
        <v>21</v>
      </c>
      <c r="G33" s="61" t="s">
        <v>594</v>
      </c>
      <c r="H33" s="47" t="s">
        <v>465</v>
      </c>
      <c r="I33" s="10" t="s">
        <v>595</v>
      </c>
      <c r="J33" s="12">
        <v>90</v>
      </c>
      <c r="K33" s="13">
        <f>J33*$U$4</f>
        <v>306</v>
      </c>
      <c r="L33" s="36"/>
      <c r="M33" s="36"/>
      <c r="N33" s="36"/>
      <c r="O33" s="36"/>
      <c r="P33" s="36">
        <v>1</v>
      </c>
      <c r="Q33" s="36"/>
      <c r="R33" s="36"/>
      <c r="S33" s="36"/>
    </row>
    <row r="34" spans="2:19" x14ac:dyDescent="0.25">
      <c r="B34" s="55" t="s">
        <v>596</v>
      </c>
      <c r="C34" s="8" t="s">
        <v>66</v>
      </c>
      <c r="D34" s="8" t="s">
        <v>356</v>
      </c>
      <c r="E34" s="61" t="s">
        <v>597</v>
      </c>
      <c r="F34" s="8" t="s">
        <v>469</v>
      </c>
      <c r="G34" s="8" t="s">
        <v>598</v>
      </c>
      <c r="H34" s="47" t="s">
        <v>465</v>
      </c>
      <c r="I34" s="10" t="s">
        <v>599</v>
      </c>
      <c r="J34" s="12">
        <v>99.99</v>
      </c>
      <c r="K34" s="13">
        <f>J34*$U$4</f>
        <v>339.96599999999995</v>
      </c>
      <c r="L34" s="36"/>
      <c r="M34" s="36"/>
      <c r="N34" s="36"/>
      <c r="O34" s="36"/>
      <c r="P34" s="36">
        <v>1</v>
      </c>
      <c r="Q34" s="36"/>
      <c r="R34" s="36"/>
      <c r="S34" s="36"/>
    </row>
    <row r="35" spans="2:19" x14ac:dyDescent="0.25">
      <c r="B35" s="55" t="s">
        <v>600</v>
      </c>
      <c r="C35" s="8" t="s">
        <v>66</v>
      </c>
      <c r="D35" s="8" t="s">
        <v>356</v>
      </c>
      <c r="E35" s="61" t="s">
        <v>601</v>
      </c>
      <c r="F35" s="8" t="s">
        <v>21</v>
      </c>
      <c r="G35" s="8" t="s">
        <v>464</v>
      </c>
      <c r="H35" s="47" t="s">
        <v>465</v>
      </c>
      <c r="I35" s="10" t="s">
        <v>602</v>
      </c>
      <c r="J35" s="12">
        <v>139</v>
      </c>
      <c r="K35" s="13">
        <f>J35*$U$4</f>
        <v>472.59999999999997</v>
      </c>
      <c r="L35" s="36"/>
      <c r="M35" s="36"/>
      <c r="N35" s="36"/>
      <c r="O35" s="36"/>
      <c r="P35" s="36">
        <v>1</v>
      </c>
      <c r="Q35" s="36"/>
      <c r="R35" s="36"/>
      <c r="S35" s="36"/>
    </row>
    <row r="36" spans="2:19" x14ac:dyDescent="0.25">
      <c r="B36" s="55" t="s">
        <v>603</v>
      </c>
      <c r="C36" s="8" t="s">
        <v>66</v>
      </c>
      <c r="D36" s="8" t="s">
        <v>356</v>
      </c>
      <c r="E36" s="61" t="s">
        <v>604</v>
      </c>
      <c r="F36" s="8" t="s">
        <v>130</v>
      </c>
      <c r="G36" s="61" t="s">
        <v>605</v>
      </c>
      <c r="H36" s="47" t="s">
        <v>465</v>
      </c>
      <c r="I36" s="10" t="s">
        <v>606</v>
      </c>
      <c r="J36" s="12">
        <v>156</v>
      </c>
      <c r="K36" s="13">
        <f>J36*$U$4</f>
        <v>530.4</v>
      </c>
      <c r="L36" s="36"/>
      <c r="M36" s="36"/>
      <c r="N36" s="36"/>
      <c r="O36" s="36"/>
      <c r="P36" s="36">
        <v>1</v>
      </c>
      <c r="Q36" s="36"/>
      <c r="R36" s="36"/>
      <c r="S36" s="36"/>
    </row>
    <row r="37" spans="2:19" x14ac:dyDescent="0.25">
      <c r="B37" s="55" t="s">
        <v>607</v>
      </c>
      <c r="C37" s="8" t="s">
        <v>66</v>
      </c>
      <c r="D37" s="8" t="s">
        <v>356</v>
      </c>
      <c r="E37" s="61" t="s">
        <v>608</v>
      </c>
      <c r="F37" s="8" t="s">
        <v>21</v>
      </c>
      <c r="G37" s="8" t="s">
        <v>464</v>
      </c>
      <c r="H37" s="47" t="s">
        <v>465</v>
      </c>
      <c r="I37" s="10" t="s">
        <v>609</v>
      </c>
      <c r="J37" s="12">
        <v>260</v>
      </c>
      <c r="K37" s="13">
        <f>J37*$U$4</f>
        <v>884</v>
      </c>
      <c r="L37" s="36"/>
      <c r="M37" s="36"/>
      <c r="N37" s="36"/>
      <c r="O37" s="36"/>
      <c r="P37" s="36">
        <v>1</v>
      </c>
      <c r="Q37" s="36"/>
      <c r="R37" s="36"/>
      <c r="S37" s="36"/>
    </row>
    <row r="38" spans="2:19" x14ac:dyDescent="0.25">
      <c r="B38" s="55" t="s">
        <v>610</v>
      </c>
      <c r="C38" s="8" t="s">
        <v>66</v>
      </c>
      <c r="D38" s="8" t="s">
        <v>356</v>
      </c>
      <c r="E38" s="61" t="s">
        <v>611</v>
      </c>
      <c r="F38" s="8" t="s">
        <v>21</v>
      </c>
      <c r="G38" s="8" t="s">
        <v>612</v>
      </c>
      <c r="H38" s="47" t="s">
        <v>465</v>
      </c>
      <c r="I38" s="10" t="s">
        <v>613</v>
      </c>
      <c r="J38" s="12">
        <v>99</v>
      </c>
      <c r="K38" s="13">
        <f>J38*$U$4</f>
        <v>336.59999999999997</v>
      </c>
      <c r="L38" s="36"/>
      <c r="M38" s="36"/>
      <c r="N38" s="36"/>
      <c r="O38" s="36"/>
      <c r="P38" s="36">
        <v>1</v>
      </c>
      <c r="Q38" s="36"/>
      <c r="R38" s="36"/>
      <c r="S38" s="36"/>
    </row>
    <row r="39" spans="2:19" x14ac:dyDescent="0.25">
      <c r="B39" s="55" t="s">
        <v>610</v>
      </c>
      <c r="C39" s="8" t="s">
        <v>66</v>
      </c>
      <c r="D39" s="8" t="s">
        <v>356</v>
      </c>
      <c r="E39" s="61" t="s">
        <v>614</v>
      </c>
      <c r="F39" s="8" t="s">
        <v>21</v>
      </c>
      <c r="G39" s="61" t="s">
        <v>615</v>
      </c>
      <c r="H39" s="47" t="s">
        <v>465</v>
      </c>
      <c r="I39" s="10" t="s">
        <v>616</v>
      </c>
      <c r="J39" s="12">
        <v>99</v>
      </c>
      <c r="K39" s="13">
        <f>J39*$U$4</f>
        <v>336.59999999999997</v>
      </c>
      <c r="L39" s="36"/>
      <c r="M39" s="36"/>
      <c r="N39" s="36"/>
      <c r="O39" s="36"/>
      <c r="P39" s="36">
        <v>1</v>
      </c>
      <c r="Q39" s="36"/>
      <c r="R39" s="36"/>
      <c r="S39" s="36"/>
    </row>
    <row r="40" spans="2:19" x14ac:dyDescent="0.25">
      <c r="B40" s="55"/>
      <c r="C40" s="8"/>
      <c r="D40" s="8"/>
      <c r="E40" s="61"/>
      <c r="F40" s="8"/>
      <c r="G40" s="8"/>
      <c r="H40" s="47"/>
      <c r="I40" s="10"/>
      <c r="J40" s="12"/>
      <c r="K40" s="13">
        <f t="shared" si="0"/>
        <v>0</v>
      </c>
      <c r="L40" s="36"/>
      <c r="M40" s="36"/>
      <c r="N40" s="36"/>
      <c r="O40" s="36"/>
      <c r="P40" s="36"/>
      <c r="Q40" s="36"/>
      <c r="R40" s="36"/>
      <c r="S40" s="36"/>
    </row>
    <row r="41" spans="2:19" x14ac:dyDescent="0.25">
      <c r="B41" s="55"/>
      <c r="C41" s="8"/>
      <c r="D41" s="8"/>
      <c r="E41" s="61"/>
      <c r="F41" s="8"/>
      <c r="G41" s="8"/>
      <c r="H41" s="47"/>
      <c r="I41" s="10"/>
      <c r="J41" s="12"/>
      <c r="K41" s="13">
        <f t="shared" si="0"/>
        <v>0</v>
      </c>
      <c r="L41" s="36"/>
      <c r="M41" s="36"/>
      <c r="N41" s="36"/>
      <c r="O41" s="36"/>
      <c r="P41" s="36"/>
      <c r="Q41" s="36"/>
      <c r="R41" s="36"/>
      <c r="S41" s="36"/>
    </row>
    <row r="42" spans="2:19" x14ac:dyDescent="0.25">
      <c r="B42" s="55"/>
      <c r="C42" s="8"/>
      <c r="D42" s="8"/>
      <c r="E42" s="61"/>
      <c r="F42" s="8"/>
      <c r="G42" s="61"/>
      <c r="H42" s="47"/>
      <c r="I42" s="10"/>
      <c r="J42" s="12"/>
      <c r="K42" s="13">
        <f t="shared" si="0"/>
        <v>0</v>
      </c>
      <c r="L42" s="36"/>
      <c r="M42" s="36"/>
      <c r="N42" s="36"/>
      <c r="O42" s="36"/>
      <c r="P42" s="36"/>
      <c r="Q42" s="36"/>
      <c r="R42" s="36"/>
      <c r="S42" s="36"/>
    </row>
    <row r="43" spans="2:19" x14ac:dyDescent="0.25">
      <c r="B43" s="55"/>
      <c r="C43" s="8"/>
      <c r="D43" s="8"/>
      <c r="E43" s="61"/>
      <c r="F43" s="8"/>
      <c r="G43" s="8"/>
      <c r="H43" s="47"/>
      <c r="I43" s="10"/>
      <c r="J43" s="12"/>
      <c r="K43" s="13">
        <f t="shared" si="0"/>
        <v>0</v>
      </c>
      <c r="L43" s="36"/>
      <c r="M43" s="36"/>
      <c r="N43" s="36"/>
      <c r="O43" s="36"/>
      <c r="P43" s="36"/>
      <c r="Q43" s="36"/>
      <c r="R43" s="36"/>
      <c r="S43" s="36"/>
    </row>
    <row r="44" spans="2:19" x14ac:dyDescent="0.25">
      <c r="B44" s="55"/>
      <c r="C44" s="8"/>
      <c r="D44" s="8"/>
      <c r="E44" s="61"/>
      <c r="F44" s="8"/>
      <c r="G44" s="8"/>
      <c r="H44" s="47"/>
      <c r="I44" s="10"/>
      <c r="J44" s="12"/>
      <c r="K44" s="13">
        <f t="shared" si="0"/>
        <v>0</v>
      </c>
      <c r="L44" s="36"/>
      <c r="M44" s="36"/>
      <c r="N44" s="36"/>
      <c r="O44" s="36"/>
      <c r="P44" s="36"/>
      <c r="Q44" s="36"/>
      <c r="R44" s="36"/>
      <c r="S44" s="36"/>
    </row>
    <row r="45" spans="2:19" x14ac:dyDescent="0.25">
      <c r="B45" s="55"/>
      <c r="C45" s="8"/>
      <c r="D45" s="8"/>
      <c r="E45" s="61"/>
      <c r="F45" s="8"/>
      <c r="G45" s="61"/>
      <c r="H45" s="47"/>
      <c r="I45" s="10"/>
      <c r="J45" s="12"/>
      <c r="K45" s="13">
        <f t="shared" si="0"/>
        <v>0</v>
      </c>
      <c r="L45" s="36"/>
      <c r="M45" s="36"/>
      <c r="N45" s="36"/>
      <c r="O45" s="36"/>
      <c r="P45" s="36"/>
      <c r="Q45" s="36"/>
      <c r="R45" s="36"/>
      <c r="S45" s="36"/>
    </row>
    <row r="46" spans="2:19" x14ac:dyDescent="0.25">
      <c r="B46" s="55"/>
      <c r="C46" s="8"/>
      <c r="D46" s="8"/>
      <c r="E46" s="61"/>
      <c r="F46" s="8"/>
      <c r="G46" s="8"/>
      <c r="H46" s="47"/>
      <c r="I46" s="10"/>
      <c r="J46" s="12"/>
      <c r="K46" s="13">
        <f t="shared" si="0"/>
        <v>0</v>
      </c>
      <c r="L46" s="36"/>
      <c r="M46" s="36"/>
      <c r="N46" s="36"/>
      <c r="O46" s="36"/>
      <c r="P46" s="36"/>
      <c r="Q46" s="36"/>
      <c r="R46" s="36"/>
      <c r="S46" s="36"/>
    </row>
    <row r="47" spans="2:19" x14ac:dyDescent="0.25">
      <c r="B47" s="55"/>
      <c r="C47" s="8"/>
      <c r="D47" s="8"/>
      <c r="E47" s="61"/>
      <c r="F47" s="8"/>
      <c r="G47" s="8"/>
      <c r="H47" s="47"/>
      <c r="I47" s="10"/>
      <c r="J47" s="12"/>
      <c r="K47" s="13">
        <f t="shared" ref="K47:K49" si="1">J47*U47</f>
        <v>0</v>
      </c>
      <c r="L47" s="36"/>
      <c r="M47" s="36"/>
      <c r="N47" s="36"/>
      <c r="O47" s="36"/>
      <c r="P47" s="36"/>
      <c r="Q47" s="36"/>
      <c r="R47" s="36"/>
      <c r="S47" s="36"/>
    </row>
    <row r="48" spans="2:19" x14ac:dyDescent="0.25">
      <c r="B48" s="55"/>
      <c r="C48" s="8"/>
      <c r="D48" s="8"/>
      <c r="E48" s="61"/>
      <c r="F48" s="8"/>
      <c r="G48" s="8"/>
      <c r="H48" s="47"/>
      <c r="I48" s="10"/>
      <c r="J48" s="12"/>
      <c r="K48" s="13">
        <f t="shared" si="1"/>
        <v>0</v>
      </c>
      <c r="L48" s="36"/>
      <c r="M48" s="36"/>
      <c r="N48" s="36"/>
      <c r="O48" s="36"/>
      <c r="P48" s="36"/>
      <c r="Q48" s="36"/>
      <c r="R48" s="36"/>
      <c r="S48" s="36"/>
    </row>
    <row r="49" spans="2:19" x14ac:dyDescent="0.25">
      <c r="B49" s="55"/>
      <c r="C49" s="8"/>
      <c r="D49" s="8"/>
      <c r="E49" s="61"/>
      <c r="F49" s="8"/>
      <c r="G49" s="8"/>
      <c r="H49" s="47"/>
      <c r="I49" s="10"/>
      <c r="J49" s="12"/>
      <c r="K49" s="13">
        <f t="shared" si="1"/>
        <v>0</v>
      </c>
      <c r="L49" s="36"/>
      <c r="M49" s="36"/>
      <c r="N49" s="36"/>
      <c r="O49" s="36"/>
      <c r="P49" s="36"/>
      <c r="Q49" s="36"/>
      <c r="R49" s="36"/>
      <c r="S49" s="36"/>
    </row>
    <row r="50" spans="2:19" x14ac:dyDescent="0.25">
      <c r="B50" s="55"/>
      <c r="C50" s="8"/>
      <c r="D50" s="8"/>
      <c r="E50" s="61"/>
      <c r="F50" s="8"/>
      <c r="G50" s="61"/>
      <c r="H50" s="47"/>
      <c r="I50" s="10"/>
      <c r="J50" s="12"/>
      <c r="K50" s="13">
        <f t="shared" ref="K50:K54" si="2">J50*U50</f>
        <v>0</v>
      </c>
      <c r="L50" s="36"/>
      <c r="M50" s="36"/>
      <c r="N50" s="36"/>
      <c r="O50" s="36"/>
      <c r="P50" s="36"/>
      <c r="Q50" s="36"/>
      <c r="R50" s="36"/>
      <c r="S50" s="36"/>
    </row>
    <row r="51" spans="2:19" x14ac:dyDescent="0.25">
      <c r="B51" s="55"/>
      <c r="C51" s="8"/>
      <c r="D51" s="8"/>
      <c r="E51" s="61"/>
      <c r="F51" s="8"/>
      <c r="G51" s="8"/>
      <c r="H51" s="47"/>
      <c r="I51" s="10"/>
      <c r="J51" s="12"/>
      <c r="K51" s="13">
        <f t="shared" si="2"/>
        <v>0</v>
      </c>
      <c r="L51" s="36"/>
      <c r="M51" s="36"/>
      <c r="N51" s="36"/>
      <c r="O51" s="36"/>
      <c r="P51" s="36"/>
      <c r="Q51" s="36"/>
      <c r="R51" s="36"/>
      <c r="S51" s="36"/>
    </row>
    <row r="52" spans="2:19" x14ac:dyDescent="0.25">
      <c r="B52" s="55"/>
      <c r="C52" s="8"/>
      <c r="D52" s="8"/>
      <c r="E52" s="61"/>
      <c r="F52" s="8"/>
      <c r="G52" s="8"/>
      <c r="H52" s="47"/>
      <c r="I52" s="10"/>
      <c r="J52" s="12"/>
      <c r="K52" s="13">
        <f t="shared" si="2"/>
        <v>0</v>
      </c>
      <c r="L52" s="36"/>
      <c r="M52" s="36"/>
      <c r="N52" s="36"/>
      <c r="O52" s="36"/>
      <c r="P52" s="36"/>
      <c r="Q52" s="36"/>
      <c r="R52" s="36"/>
      <c r="S52" s="36"/>
    </row>
    <row r="53" spans="2:19" x14ac:dyDescent="0.25">
      <c r="B53" s="86"/>
      <c r="C53" s="8"/>
      <c r="D53" s="83"/>
      <c r="E53" s="72"/>
      <c r="F53" s="55"/>
      <c r="G53" s="57"/>
      <c r="H53" s="84"/>
      <c r="I53" s="52"/>
      <c r="J53" s="12"/>
      <c r="K53" s="13">
        <f t="shared" si="2"/>
        <v>0</v>
      </c>
      <c r="L53" s="36"/>
      <c r="M53" s="36"/>
      <c r="N53" s="36"/>
      <c r="O53" s="36"/>
      <c r="P53" s="36"/>
      <c r="Q53" s="36"/>
      <c r="R53" s="36"/>
      <c r="S53" s="36"/>
    </row>
    <row r="54" spans="2:19" x14ac:dyDescent="0.25">
      <c r="B54" s="55"/>
      <c r="C54" s="8"/>
      <c r="D54" s="8"/>
      <c r="E54" s="87"/>
      <c r="F54" s="8"/>
      <c r="G54" s="8"/>
      <c r="H54" s="8"/>
      <c r="I54" s="8"/>
      <c r="J54" s="12"/>
      <c r="K54" s="13">
        <f t="shared" si="2"/>
        <v>0</v>
      </c>
      <c r="L54" s="36"/>
      <c r="M54" s="36"/>
      <c r="N54" s="36"/>
      <c r="O54" s="36"/>
      <c r="P54" s="36"/>
      <c r="Q54" s="36"/>
      <c r="R54" s="36"/>
      <c r="S54" s="36"/>
    </row>
    <row r="55" spans="2:19" x14ac:dyDescent="0.25">
      <c r="B55" s="55"/>
      <c r="C55" s="8"/>
      <c r="D55" s="8"/>
      <c r="E55" s="87"/>
      <c r="F55" s="8"/>
      <c r="G55" s="8"/>
      <c r="H55" s="8"/>
      <c r="I55" s="8"/>
      <c r="J55" s="12"/>
      <c r="K55" s="13">
        <f t="shared" ref="K55:K64" si="3">J55*$U$4</f>
        <v>0</v>
      </c>
      <c r="L55" s="36"/>
      <c r="M55" s="36"/>
      <c r="N55" s="36"/>
      <c r="O55" s="36"/>
      <c r="P55" s="36"/>
      <c r="Q55" s="36"/>
      <c r="R55" s="36"/>
      <c r="S55" s="36"/>
    </row>
    <row r="56" spans="2:19" x14ac:dyDescent="0.25">
      <c r="B56" s="55"/>
      <c r="C56" s="8"/>
      <c r="D56" s="8"/>
      <c r="E56" s="87"/>
      <c r="F56" s="8"/>
      <c r="G56" s="61"/>
      <c r="H56" s="10"/>
      <c r="I56" s="58"/>
      <c r="J56" s="12"/>
      <c r="K56" s="13">
        <f t="shared" si="3"/>
        <v>0</v>
      </c>
      <c r="L56" s="36"/>
      <c r="M56" s="36"/>
      <c r="N56" s="36"/>
      <c r="O56" s="36"/>
      <c r="P56" s="36"/>
      <c r="Q56" s="36"/>
      <c r="R56" s="36"/>
      <c r="S56" s="36"/>
    </row>
    <row r="57" spans="2:19" x14ac:dyDescent="0.25">
      <c r="B57" s="55"/>
      <c r="C57" s="8"/>
      <c r="D57" s="8"/>
      <c r="E57" s="87"/>
      <c r="F57" s="8"/>
      <c r="G57" s="8"/>
      <c r="H57" s="8"/>
      <c r="I57" s="8"/>
      <c r="J57" s="12"/>
      <c r="K57" s="13">
        <f t="shared" si="3"/>
        <v>0</v>
      </c>
      <c r="L57" s="36"/>
      <c r="M57" s="36"/>
      <c r="N57" s="36"/>
      <c r="O57" s="36"/>
      <c r="P57" s="36"/>
      <c r="Q57" s="36"/>
      <c r="R57" s="36"/>
      <c r="S57" s="36"/>
    </row>
    <row r="58" spans="2:19" x14ac:dyDescent="0.25">
      <c r="B58" s="55"/>
      <c r="C58" s="8"/>
      <c r="D58" s="8"/>
      <c r="E58" s="87"/>
      <c r="F58" s="8"/>
      <c r="G58" s="8"/>
      <c r="H58" s="8"/>
      <c r="I58" s="8"/>
      <c r="J58" s="12"/>
      <c r="K58" s="13">
        <f t="shared" si="3"/>
        <v>0</v>
      </c>
      <c r="L58" s="36"/>
      <c r="M58" s="36"/>
      <c r="N58" s="36"/>
      <c r="O58" s="36"/>
      <c r="P58" s="36"/>
      <c r="Q58" s="36"/>
      <c r="R58" s="36"/>
      <c r="S58" s="36"/>
    </row>
    <row r="59" spans="2:19" x14ac:dyDescent="0.25">
      <c r="B59" s="55"/>
      <c r="C59" s="8"/>
      <c r="D59" s="8"/>
      <c r="E59" s="87"/>
      <c r="F59" s="8"/>
      <c r="G59" s="61"/>
      <c r="H59" s="10"/>
      <c r="I59" s="58"/>
      <c r="J59" s="12"/>
      <c r="K59" s="13">
        <f t="shared" si="3"/>
        <v>0</v>
      </c>
      <c r="L59" s="36"/>
      <c r="M59" s="36"/>
      <c r="N59" s="36"/>
      <c r="O59" s="36"/>
      <c r="P59" s="36"/>
      <c r="Q59" s="36"/>
      <c r="R59" s="36"/>
      <c r="S59" s="36"/>
    </row>
    <row r="60" spans="2:19" x14ac:dyDescent="0.25">
      <c r="B60" s="55"/>
      <c r="C60" s="8"/>
      <c r="D60" s="8"/>
      <c r="E60" s="55"/>
      <c r="F60" s="8"/>
      <c r="G60" s="8"/>
      <c r="H60" s="8"/>
      <c r="I60" s="8"/>
      <c r="J60" s="12"/>
      <c r="K60" s="13">
        <f t="shared" si="3"/>
        <v>0</v>
      </c>
      <c r="L60" s="36"/>
      <c r="M60" s="36"/>
      <c r="N60" s="36"/>
      <c r="O60" s="36"/>
      <c r="P60" s="36"/>
      <c r="Q60" s="36"/>
      <c r="R60" s="36"/>
      <c r="S60" s="36"/>
    </row>
    <row r="61" spans="2:19" x14ac:dyDescent="0.25">
      <c r="B61" s="55"/>
      <c r="C61" s="8"/>
      <c r="D61" s="8"/>
      <c r="E61" s="55"/>
      <c r="F61" s="8"/>
      <c r="G61" s="81"/>
      <c r="H61" s="8"/>
      <c r="I61" s="8"/>
      <c r="J61" s="12"/>
      <c r="K61" s="13">
        <f t="shared" si="3"/>
        <v>0</v>
      </c>
      <c r="L61" s="36"/>
      <c r="M61" s="36"/>
      <c r="N61" s="36"/>
      <c r="O61" s="36"/>
      <c r="P61" s="36"/>
      <c r="Q61" s="36"/>
      <c r="R61" s="36"/>
      <c r="S61" s="36"/>
    </row>
    <row r="62" spans="2:19" x14ac:dyDescent="0.25">
      <c r="B62" s="55"/>
      <c r="C62" s="8"/>
      <c r="D62" s="8"/>
      <c r="E62" s="55"/>
      <c r="F62" s="8"/>
      <c r="G62" s="61"/>
      <c r="H62" s="10"/>
      <c r="I62" s="58"/>
      <c r="J62" s="12"/>
      <c r="K62" s="13">
        <f t="shared" si="3"/>
        <v>0</v>
      </c>
      <c r="L62" s="36"/>
      <c r="M62" s="36"/>
      <c r="N62" s="36"/>
      <c r="O62" s="36"/>
      <c r="P62" s="36"/>
      <c r="Q62" s="36"/>
      <c r="R62" s="36"/>
      <c r="S62" s="36"/>
    </row>
    <row r="63" spans="2:19" x14ac:dyDescent="0.25">
      <c r="B63" s="55"/>
      <c r="C63" s="8"/>
      <c r="D63" s="8"/>
      <c r="E63" s="55"/>
      <c r="F63" s="8"/>
      <c r="G63" s="8"/>
      <c r="H63" s="8"/>
      <c r="I63" s="8"/>
      <c r="J63" s="12"/>
      <c r="K63" s="13">
        <f t="shared" si="3"/>
        <v>0</v>
      </c>
      <c r="L63" s="36"/>
      <c r="M63" s="36"/>
      <c r="N63" s="36"/>
      <c r="O63" s="36"/>
      <c r="P63" s="36"/>
      <c r="Q63" s="36"/>
      <c r="R63" s="36"/>
      <c r="S63" s="36"/>
    </row>
    <row r="64" spans="2:19" x14ac:dyDescent="0.25">
      <c r="B64" s="55"/>
      <c r="C64" s="8"/>
      <c r="D64" s="8"/>
      <c r="E64" s="55"/>
      <c r="F64" s="8"/>
      <c r="G64" s="8"/>
      <c r="H64" s="8"/>
      <c r="I64" s="8"/>
      <c r="J64" s="12"/>
      <c r="K64" s="13">
        <f t="shared" si="3"/>
        <v>0</v>
      </c>
      <c r="L64" s="36"/>
      <c r="M64" s="36"/>
      <c r="N64" s="36"/>
      <c r="O64" s="36"/>
      <c r="P64" s="36"/>
      <c r="Q64" s="36"/>
      <c r="R64" s="36"/>
      <c r="S64" s="36"/>
    </row>
    <row r="65" spans="6:11" x14ac:dyDescent="0.25">
      <c r="F65" t="s">
        <v>476</v>
      </c>
      <c r="J65" s="75">
        <f>SUM(J4:J64)</f>
        <v>312.74</v>
      </c>
      <c r="K65" s="43">
        <f>SUM(K4:K64)</f>
        <v>1125.864</v>
      </c>
    </row>
    <row r="66" spans="9:9" x14ac:dyDescent="0.25">
      <c r="I66" s="53"/>
    </row>
    <row r="67" spans="9:9" x14ac:dyDescent="0.25">
      <c r="I67" s="54"/>
    </row>
    <row r="68" spans="9:9" x14ac:dyDescent="0.25">
      <c r="I68" s="53"/>
    </row>
    <row r="69" spans="9:9" x14ac:dyDescent="0.25">
      <c r="I69" s="54"/>
    </row>
    <row r="70" spans="9:9" x14ac:dyDescent="0.25">
      <c r="I70" s="53"/>
    </row>
    <row r="71" spans="9:9" x14ac:dyDescent="0.25">
      <c r="I71" s="54"/>
    </row>
    <row r="74" spans="9:9" x14ac:dyDescent="0.25">
      <c r="I74" s="53"/>
    </row>
    <row r="75" spans="9:9" x14ac:dyDescent="0.25">
      <c r="I75" s="54"/>
    </row>
    <row r="77" spans="9:9" x14ac:dyDescent="0.25">
      <c r="I77" s="53"/>
    </row>
    <row r="78" spans="9:9" x14ac:dyDescent="0.25">
      <c r="I78" s="54"/>
    </row>
    <row r="88" spans="12:12" x14ac:dyDescent="0.25">
      <c r="L88" s="53"/>
    </row>
    <row r="89" ht="15.75" customHeight="1" spans="2:11" x14ac:dyDescent="0.25">
      <c r="B89" s="51" t="s">
        <v>123</v>
      </c>
      <c r="C89" s="51"/>
      <c r="D89" s="51"/>
      <c r="E89" s="51"/>
      <c r="F89" s="51"/>
      <c r="G89" s="51"/>
      <c r="H89" s="51"/>
      <c r="I89" s="51"/>
      <c r="J89" s="51"/>
      <c r="K89" s="51"/>
    </row>
    <row r="90" spans="2:11" x14ac:dyDescent="0.25">
      <c r="B90" s="1" t="s">
        <v>0</v>
      </c>
      <c r="C90" s="1" t="s">
        <v>124</v>
      </c>
      <c r="D90" s="2" t="s">
        <v>61</v>
      </c>
      <c r="E90" s="2" t="s">
        <v>9</v>
      </c>
      <c r="F90" s="2" t="s">
        <v>10</v>
      </c>
      <c r="G90" s="2" t="s">
        <v>62</v>
      </c>
      <c r="H90" s="2" t="s">
        <v>11</v>
      </c>
      <c r="I90" s="2" t="s">
        <v>12</v>
      </c>
      <c r="J90" s="44" t="s">
        <v>64</v>
      </c>
      <c r="K90" s="45" t="s">
        <v>13</v>
      </c>
    </row>
    <row r="91" spans="2:11" x14ac:dyDescent="0.25">
      <c r="B91" s="36"/>
      <c r="C91" s="36"/>
      <c r="D91" s="36"/>
      <c r="E91" s="36"/>
      <c r="F91" s="36"/>
      <c r="G91" s="36"/>
      <c r="H91" s="36"/>
      <c r="I91" s="36"/>
      <c r="J91" s="36"/>
      <c r="K91" s="36"/>
    </row>
    <row r="92" spans="2:11" x14ac:dyDescent="0.25">
      <c r="B92" s="36"/>
      <c r="C92" s="36"/>
      <c r="D92" s="36"/>
      <c r="E92" s="36"/>
      <c r="F92" s="36"/>
      <c r="G92" s="36"/>
      <c r="H92" s="36"/>
      <c r="I92" s="36"/>
      <c r="J92" s="36"/>
      <c r="K92" s="36"/>
    </row>
    <row r="93" spans="2:11" x14ac:dyDescent="0.25">
      <c r="B93" s="36"/>
      <c r="C93" s="36"/>
      <c r="D93" s="36"/>
      <c r="E93" s="36"/>
      <c r="F93" s="36"/>
      <c r="G93" s="36"/>
      <c r="H93" s="36"/>
      <c r="I93" s="36"/>
      <c r="J93" s="36"/>
      <c r="K93" s="36"/>
    </row>
    <row r="94" spans="2:11" x14ac:dyDescent="0.25">
      <c r="B94" s="36"/>
      <c r="C94" s="36"/>
      <c r="D94" s="36"/>
      <c r="E94" s="36"/>
      <c r="F94" s="36"/>
      <c r="G94" s="36"/>
      <c r="H94" s="36"/>
      <c r="I94" s="36"/>
      <c r="J94" s="36"/>
      <c r="K94" s="36"/>
    </row>
    <row r="95" spans="2:11" x14ac:dyDescent="0.25">
      <c r="B95" s="36"/>
      <c r="C95" s="36"/>
      <c r="D95" s="36"/>
      <c r="E95" s="36"/>
      <c r="F95" s="36"/>
      <c r="G95" s="36"/>
      <c r="H95" s="36"/>
      <c r="I95" s="36"/>
      <c r="J95" s="36"/>
      <c r="K95" s="36"/>
    </row>
    <row r="96" spans="2:11" x14ac:dyDescent="0.25">
      <c r="B96" s="36"/>
      <c r="C96" s="36"/>
      <c r="D96" s="36"/>
      <c r="E96" s="36"/>
      <c r="F96" s="36"/>
      <c r="G96" s="36"/>
      <c r="H96" s="36"/>
      <c r="I96" s="36"/>
      <c r="J96" s="36"/>
      <c r="K96" s="36"/>
    </row>
    <row r="97" spans="2:11" x14ac:dyDescent="0.25">
      <c r="B97" s="36"/>
      <c r="C97" s="36"/>
      <c r="D97" s="36"/>
      <c r="E97" s="36"/>
      <c r="F97" s="36"/>
      <c r="G97" s="36"/>
      <c r="H97" s="36"/>
      <c r="I97" s="36"/>
      <c r="J97" s="36"/>
      <c r="K97" s="36"/>
    </row>
    <row r="98" spans="2:11" x14ac:dyDescent="0.25">
      <c r="B98" s="36"/>
      <c r="C98" s="36"/>
      <c r="D98" s="36"/>
      <c r="E98" s="36"/>
      <c r="F98" s="36"/>
      <c r="G98" s="36"/>
      <c r="H98" s="36"/>
      <c r="I98" s="36"/>
      <c r="J98" s="36"/>
      <c r="K98" s="36"/>
    </row>
    <row r="99" spans="2:11" x14ac:dyDescent="0.25">
      <c r="B99" s="36"/>
      <c r="C99" s="36"/>
      <c r="D99" s="36"/>
      <c r="E99" s="36"/>
      <c r="F99" s="36"/>
      <c r="G99" s="36"/>
      <c r="H99" s="36"/>
      <c r="I99" s="36"/>
      <c r="J99" s="36"/>
      <c r="K99" s="36"/>
    </row>
    <row r="100" spans="12:12" x14ac:dyDescent="0.25">
      <c r="L100" s="54"/>
    </row>
  </sheetData>
  <hyperlinks>
    <hyperlink ref="H4" r:id="rId1"/>
    <hyperlink ref="I4" r:id="rId2"/>
    <hyperlink ref="H5" r:id="rId3"/>
    <hyperlink ref="I5" r:id="rId4"/>
    <hyperlink ref="H6" r:id="rId5"/>
    <hyperlink ref="I6" r:id="rId6"/>
    <hyperlink ref="H7" r:id="rId7"/>
    <hyperlink ref="I7" r:id="rId8"/>
    <hyperlink ref="H8" r:id="rId9"/>
    <hyperlink ref="I8" r:id="rId10"/>
    <hyperlink ref="H9" r:id="rId11"/>
    <hyperlink ref="I9" r:id="rId12"/>
    <hyperlink ref="H10" r:id="rId13"/>
    <hyperlink ref="I10" r:id="rId14"/>
    <hyperlink ref="H11" r:id="rId15"/>
    <hyperlink ref="I11" r:id="rId16"/>
    <hyperlink ref="H12" r:id="rId17"/>
    <hyperlink ref="I12" r:id="rId18"/>
    <hyperlink ref="H13" r:id="rId19"/>
    <hyperlink ref="I13" r:id="rId20"/>
    <hyperlink ref="H14" r:id="rId21"/>
    <hyperlink ref="I14" r:id="rId22"/>
    <hyperlink ref="H15" r:id="rId23"/>
    <hyperlink ref="I15" r:id="rId24"/>
    <hyperlink ref="H16" r:id="rId25"/>
    <hyperlink ref="I16" r:id="rId26"/>
    <hyperlink ref="H17" r:id="rId27"/>
    <hyperlink ref="I17" r:id="rId28"/>
    <hyperlink ref="H18" r:id="rId29"/>
    <hyperlink ref="I18" r:id="rId30"/>
    <hyperlink ref="H19" r:id="rId31"/>
    <hyperlink ref="I19" r:id="rId32"/>
    <hyperlink ref="H20" r:id="rId33"/>
    <hyperlink ref="I20" r:id="rId34"/>
    <hyperlink ref="H21" r:id="rId35"/>
    <hyperlink ref="I21" r:id="rId36"/>
    <hyperlink ref="H22" r:id="rId37"/>
    <hyperlink ref="I22" r:id="rId38"/>
    <hyperlink ref="H23" r:id="rId39"/>
    <hyperlink ref="I23" r:id="rId40"/>
    <hyperlink ref="H24" r:id="rId41"/>
    <hyperlink ref="I24" r:id="rId42"/>
    <hyperlink ref="H25" r:id="rId43"/>
    <hyperlink ref="I25" r:id="rId44"/>
    <hyperlink ref="H26" r:id="rId45"/>
    <hyperlink ref="I26" r:id="rId46"/>
    <hyperlink ref="H27" r:id="rId47"/>
    <hyperlink ref="I27" r:id="rId48"/>
    <hyperlink ref="H28" r:id="rId49"/>
    <hyperlink ref="I28" r:id="rId50"/>
    <hyperlink ref="H29" r:id="rId51"/>
    <hyperlink ref="I29" r:id="rId52"/>
    <hyperlink ref="H30" r:id="rId53"/>
    <hyperlink ref="I30" r:id="rId54"/>
    <hyperlink ref="H31" r:id="rId55"/>
    <hyperlink ref="I31" r:id="rId56"/>
    <hyperlink ref="H32" r:id="rId57"/>
    <hyperlink ref="I32" r:id="rId58"/>
    <hyperlink ref="H33" r:id="rId59"/>
    <hyperlink ref="I33" r:id="rId60"/>
    <hyperlink ref="H34" r:id="rId61"/>
    <hyperlink ref="I34" r:id="rId62"/>
    <hyperlink ref="H35" r:id="rId63"/>
    <hyperlink ref="I35" r:id="rId64"/>
    <hyperlink ref="H36" r:id="rId65"/>
    <hyperlink ref="I36" r:id="rId66"/>
    <hyperlink ref="H37" r:id="rId67"/>
    <hyperlink ref="I37" r:id="rId68"/>
    <hyperlink ref="H38" r:id="rId69"/>
    <hyperlink ref="I38" r:id="rId70"/>
    <hyperlink ref="H39" r:id="rId71"/>
    <hyperlink ref="I39" r:id="rId72"/>
  </hyperlinks>
  <pageMargins left="0.7" right="0.7" top="0.75" bottom="0.75" header="0.3" footer="0.3"/>
  <pageSetup paperSize="9" orientation="portrait" horizontalDpi="360" verticalDpi="360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100"/>
  <sheetViews>
    <sheetView workbookViewId="0" zoomScale="70" zoomScaleNormal="70">
      <selection activeCell="F13" sqref="F13"/>
    </sheetView>
  </sheetViews>
  <sheetFormatPr defaultRowHeight="15" outlineLevelRow="0" outlineLevelCol="0" x14ac:dyDescent="0.25"/>
  <cols>
    <col min="1" max="1" width="9.42578125" customWidth="1"/>
    <col min="2" max="2" width="39.5703125" customWidth="1"/>
    <col min="3" max="3" width="15" customWidth="1"/>
    <col min="4" max="4" width="30.140625" customWidth="1"/>
    <col min="5" max="5" width="23.7109375" customWidth="1"/>
    <col min="6" max="6" width="27.5703125" customWidth="1"/>
    <col min="7" max="7" width="44.5703125" customWidth="1"/>
    <col min="8" max="8" width="41" customWidth="1"/>
    <col min="9" max="9" width="96.28515625" customWidth="1"/>
    <col min="10" max="10" width="23.5703125" customWidth="1"/>
    <col min="11" max="11" width="25.85546875" customWidth="1"/>
    <col min="12" max="12" width="24.85546875" customWidth="1"/>
    <col min="13" max="13" width="26.7109375" customWidth="1"/>
    <col min="14" max="14" width="22.85546875" customWidth="1"/>
    <col min="15" max="16" width="17.42578125" customWidth="1"/>
    <col min="17" max="17" width="13.42578125" customWidth="1"/>
    <col min="18" max="18" width="13" customWidth="1"/>
    <col min="19" max="19" width="18.28515625" customWidth="1"/>
    <col min="20" max="20" width="17.5703125" customWidth="1"/>
    <col min="21" max="21" width="19.140625" customWidth="1"/>
    <col min="23" max="23" width="21" customWidth="1"/>
  </cols>
  <sheetData>
    <row r="2" ht="15.75" customHeight="1" x14ac:dyDescent="0.25"/>
    <row r="3" ht="29.25" customHeight="1" spans="2:21" x14ac:dyDescent="0.25">
      <c r="B3" s="1" t="s">
        <v>0</v>
      </c>
      <c r="C3" s="2" t="s">
        <v>58</v>
      </c>
      <c r="D3" s="2" t="s">
        <v>59</v>
      </c>
      <c r="E3" s="2" t="s">
        <v>53</v>
      </c>
      <c r="F3" s="2" t="s">
        <v>3</v>
      </c>
      <c r="G3" s="2" t="s">
        <v>4</v>
      </c>
      <c r="H3" s="2" t="s">
        <v>60</v>
      </c>
      <c r="I3" s="2" t="s">
        <v>6</v>
      </c>
      <c r="J3" s="2" t="s">
        <v>7</v>
      </c>
      <c r="K3" s="2" t="s">
        <v>61</v>
      </c>
      <c r="L3" s="2" t="s">
        <v>9</v>
      </c>
      <c r="M3" s="2" t="s">
        <v>10</v>
      </c>
      <c r="N3" s="2" t="s">
        <v>62</v>
      </c>
      <c r="O3" s="2" t="s">
        <v>11</v>
      </c>
      <c r="P3" s="2" t="s">
        <v>12</v>
      </c>
      <c r="Q3" s="44" t="s">
        <v>64</v>
      </c>
      <c r="R3" s="45" t="s">
        <v>13</v>
      </c>
      <c r="S3" s="45" t="s">
        <v>65</v>
      </c>
      <c r="U3" s="4" t="s">
        <v>14</v>
      </c>
    </row>
    <row r="4" ht="32.25" customHeight="1" spans="2:21" x14ac:dyDescent="0.25">
      <c r="B4" s="88" t="s">
        <v>617</v>
      </c>
      <c r="C4" s="85" t="s">
        <v>66</v>
      </c>
      <c r="D4" s="7" t="s">
        <v>66</v>
      </c>
      <c r="E4" s="88" t="s">
        <v>618</v>
      </c>
      <c r="F4" s="55" t="s">
        <v>130</v>
      </c>
      <c r="G4" s="89" t="s">
        <v>619</v>
      </c>
      <c r="H4" s="47" t="s">
        <v>234</v>
      </c>
      <c r="I4" s="47" t="s">
        <v>620</v>
      </c>
      <c r="J4" s="12">
        <v>79.95</v>
      </c>
      <c r="K4" s="13">
        <f>J4*$U$4</f>
        <v>279.825</v>
      </c>
      <c r="L4" s="13"/>
      <c r="M4" s="13"/>
      <c r="N4" s="13"/>
      <c r="O4" s="15"/>
      <c r="P4" s="8"/>
      <c r="Q4" s="46"/>
      <c r="R4" s="8"/>
      <c r="S4" s="36"/>
      <c r="U4" s="8">
        <v>3.5</v>
      </c>
    </row>
    <row r="5" ht="29.25" customHeight="1" spans="2:21" x14ac:dyDescent="0.25">
      <c r="B5" s="88" t="s">
        <v>621</v>
      </c>
      <c r="C5" s="85" t="s">
        <v>66</v>
      </c>
      <c r="D5" s="7" t="s">
        <v>66</v>
      </c>
      <c r="E5" s="88" t="s">
        <v>622</v>
      </c>
      <c r="F5" s="8" t="s">
        <v>21</v>
      </c>
      <c r="G5" s="89" t="s">
        <v>623</v>
      </c>
      <c r="H5" s="47" t="s">
        <v>624</v>
      </c>
      <c r="I5" s="47" t="s">
        <v>625</v>
      </c>
      <c r="J5" s="12">
        <v>22</v>
      </c>
      <c r="K5" s="13">
        <f t="shared" ref="K5:K64" si="0">J5*$U$4</f>
        <v>77</v>
      </c>
      <c r="L5" s="13"/>
      <c r="M5" s="13"/>
      <c r="N5" s="13"/>
      <c r="O5" s="15"/>
      <c r="P5" s="8"/>
      <c r="Q5" s="46"/>
      <c r="R5" s="8"/>
      <c r="S5" s="36"/>
      <c r="U5" s="20"/>
    </row>
    <row r="6" spans="2:21" x14ac:dyDescent="0.25">
      <c r="B6" s="88" t="s">
        <v>626</v>
      </c>
      <c r="C6" s="85" t="s">
        <v>66</v>
      </c>
      <c r="D6" s="7" t="s">
        <v>66</v>
      </c>
      <c r="E6" s="88" t="s">
        <v>627</v>
      </c>
      <c r="F6" s="8" t="s">
        <v>16</v>
      </c>
      <c r="G6" s="79" t="s">
        <v>628</v>
      </c>
      <c r="H6" s="47" t="s">
        <v>147</v>
      </c>
      <c r="I6" s="47" t="s">
        <v>629</v>
      </c>
      <c r="J6" s="12">
        <v>159.99</v>
      </c>
      <c r="K6" s="13">
        <f t="shared" si="0"/>
        <v>559.965</v>
      </c>
      <c r="L6" s="13"/>
      <c r="M6" s="13"/>
      <c r="N6" s="13"/>
      <c r="O6" s="15"/>
      <c r="P6" s="8"/>
      <c r="Q6" s="46"/>
      <c r="R6" s="8"/>
      <c r="S6" s="36"/>
      <c r="U6" s="20"/>
    </row>
    <row r="7" spans="2:21" x14ac:dyDescent="0.25">
      <c r="B7" s="90" t="s">
        <v>630</v>
      </c>
      <c r="C7" s="85" t="s">
        <v>66</v>
      </c>
      <c r="D7" s="7" t="s">
        <v>66</v>
      </c>
      <c r="E7" s="90" t="s">
        <v>631</v>
      </c>
      <c r="F7" s="8" t="s">
        <v>21</v>
      </c>
      <c r="G7" s="79" t="s">
        <v>632</v>
      </c>
      <c r="H7" s="47" t="s">
        <v>633</v>
      </c>
      <c r="I7" s="47" t="s">
        <v>634</v>
      </c>
      <c r="J7" s="12">
        <v>125.98</v>
      </c>
      <c r="K7" s="13">
        <f t="shared" si="0"/>
        <v>440.93</v>
      </c>
      <c r="L7" s="13"/>
      <c r="M7" s="13"/>
      <c r="N7" s="13"/>
      <c r="O7" s="15"/>
      <c r="P7" s="8"/>
      <c r="Q7" s="46"/>
      <c r="R7" s="8"/>
      <c r="S7" s="36"/>
      <c r="U7" s="22"/>
    </row>
    <row r="8" spans="2:21" x14ac:dyDescent="0.25">
      <c r="B8" s="90" t="s">
        <v>635</v>
      </c>
      <c r="C8" s="85" t="s">
        <v>66</v>
      </c>
      <c r="D8" s="83" t="s">
        <v>66</v>
      </c>
      <c r="E8" s="90" t="s">
        <v>636</v>
      </c>
      <c r="F8" s="8" t="s">
        <v>16</v>
      </c>
      <c r="G8" s="57" t="s">
        <v>637</v>
      </c>
      <c r="H8" s="47" t="s">
        <v>147</v>
      </c>
      <c r="I8" s="47" t="s">
        <v>638</v>
      </c>
      <c r="J8" s="12">
        <v>42.9</v>
      </c>
      <c r="K8" s="13">
        <f t="shared" si="0"/>
        <v>150.15</v>
      </c>
      <c r="L8" s="13"/>
      <c r="M8" s="13"/>
      <c r="N8" s="13"/>
      <c r="O8" s="15"/>
      <c r="P8" s="8"/>
      <c r="Q8" s="46"/>
      <c r="R8" s="8"/>
      <c r="S8" s="36"/>
      <c r="U8" s="23"/>
    </row>
    <row r="9" spans="2:21" x14ac:dyDescent="0.25">
      <c r="B9" s="8"/>
      <c r="C9" s="8"/>
      <c r="D9" s="8"/>
      <c r="E9" s="36"/>
      <c r="F9" s="36"/>
      <c r="G9" s="36"/>
      <c r="H9" s="36"/>
      <c r="I9" s="36"/>
      <c r="J9" s="36"/>
      <c r="K9" s="13">
        <f t="shared" si="0"/>
        <v>0</v>
      </c>
      <c r="L9" s="13"/>
      <c r="M9" s="13"/>
      <c r="N9" s="13"/>
      <c r="O9" s="15"/>
      <c r="P9" s="8"/>
      <c r="Q9" s="46"/>
      <c r="R9" s="8"/>
      <c r="S9" s="36"/>
      <c r="U9" s="20"/>
    </row>
    <row r="10" spans="2:21" s="62" customFormat="1" x14ac:dyDescent="0.25">
      <c r="B10" s="55"/>
      <c r="C10" s="8"/>
      <c r="D10" s="7"/>
      <c r="E10" s="61"/>
      <c r="F10" s="8"/>
      <c r="G10" s="9"/>
      <c r="H10" s="47"/>
      <c r="I10" s="10"/>
      <c r="J10" s="12"/>
      <c r="K10" s="13">
        <f t="shared" si="0"/>
        <v>0</v>
      </c>
      <c r="L10" s="64"/>
      <c r="M10" s="64"/>
      <c r="N10" s="64"/>
      <c r="O10" s="15"/>
      <c r="P10" s="8"/>
      <c r="Q10" s="65"/>
      <c r="R10" s="66"/>
      <c r="S10" s="66"/>
      <c r="U10" s="20"/>
    </row>
    <row r="11" spans="2:21" x14ac:dyDescent="0.25">
      <c r="B11" s="55"/>
      <c r="C11" s="8"/>
      <c r="D11" s="7"/>
      <c r="E11" s="61"/>
      <c r="F11" s="8"/>
      <c r="G11" s="9"/>
      <c r="H11" s="47"/>
      <c r="I11" s="10"/>
      <c r="J11" s="12"/>
      <c r="K11" s="13">
        <f t="shared" si="0"/>
        <v>0</v>
      </c>
      <c r="L11" s="13"/>
      <c r="M11" s="13"/>
      <c r="N11" s="13"/>
      <c r="O11" s="15"/>
      <c r="P11" s="8"/>
      <c r="Q11" s="46"/>
      <c r="R11" s="36"/>
      <c r="S11" s="36"/>
      <c r="U11" s="24"/>
    </row>
    <row r="12" spans="2:21" x14ac:dyDescent="0.25">
      <c r="B12" s="55"/>
      <c r="C12" s="8"/>
      <c r="D12" s="7"/>
      <c r="E12" s="61"/>
      <c r="F12" s="8"/>
      <c r="G12" s="9"/>
      <c r="H12" s="47"/>
      <c r="I12" s="10"/>
      <c r="J12" s="12"/>
      <c r="K12" s="13">
        <f t="shared" si="0"/>
        <v>0</v>
      </c>
      <c r="L12" s="13"/>
      <c r="M12" s="13"/>
      <c r="N12" s="13"/>
      <c r="O12" s="15"/>
      <c r="P12" s="8"/>
      <c r="Q12" s="46"/>
      <c r="R12" s="36"/>
      <c r="S12" s="36"/>
      <c r="U12" s="23"/>
    </row>
    <row r="13" spans="2:21" x14ac:dyDescent="0.25">
      <c r="B13" s="55"/>
      <c r="C13" s="8"/>
      <c r="D13" s="7"/>
      <c r="E13" s="61"/>
      <c r="F13" s="8"/>
      <c r="G13" s="9"/>
      <c r="H13" s="47"/>
      <c r="I13" s="10"/>
      <c r="J13" s="12"/>
      <c r="K13" s="13">
        <f t="shared" si="0"/>
        <v>0</v>
      </c>
      <c r="L13" s="13"/>
      <c r="M13" s="13"/>
      <c r="N13" s="13"/>
      <c r="O13" s="15"/>
      <c r="P13" s="8"/>
      <c r="Q13" s="46"/>
      <c r="R13" s="36"/>
      <c r="S13" s="36"/>
      <c r="U13" s="20"/>
    </row>
    <row r="14" spans="2:21" x14ac:dyDescent="0.25">
      <c r="B14" s="55"/>
      <c r="C14" s="8"/>
      <c r="D14" s="7"/>
      <c r="E14" s="61"/>
      <c r="F14" s="8"/>
      <c r="G14" s="9"/>
      <c r="H14" s="47"/>
      <c r="I14" s="10"/>
      <c r="J14" s="12"/>
      <c r="K14" s="13">
        <f t="shared" si="0"/>
        <v>0</v>
      </c>
      <c r="L14" s="13"/>
      <c r="M14" s="13"/>
      <c r="N14" s="13"/>
      <c r="O14" s="15"/>
      <c r="P14" s="8"/>
      <c r="Q14" s="46"/>
      <c r="R14" s="36"/>
      <c r="S14" s="36"/>
      <c r="U14" s="20"/>
    </row>
    <row r="15" spans="2:21" x14ac:dyDescent="0.25">
      <c r="B15" s="55"/>
      <c r="C15" s="8"/>
      <c r="D15" s="7"/>
      <c r="E15" s="61"/>
      <c r="F15" s="8"/>
      <c r="G15" s="9"/>
      <c r="H15" s="47"/>
      <c r="I15" s="10"/>
      <c r="J15" s="12"/>
      <c r="K15" s="13">
        <f t="shared" si="0"/>
        <v>0</v>
      </c>
      <c r="L15" s="13"/>
      <c r="M15" s="13"/>
      <c r="N15" s="13"/>
      <c r="O15" s="15"/>
      <c r="P15" s="8"/>
      <c r="Q15" s="46"/>
      <c r="R15" s="36"/>
      <c r="S15" s="36"/>
      <c r="U15" s="40"/>
    </row>
    <row r="16" spans="2:21" x14ac:dyDescent="0.25">
      <c r="B16" s="55"/>
      <c r="C16" s="8"/>
      <c r="D16" s="7"/>
      <c r="E16" s="61"/>
      <c r="F16" s="8"/>
      <c r="G16" s="9"/>
      <c r="H16" s="47"/>
      <c r="I16" s="10"/>
      <c r="J16" s="12"/>
      <c r="K16" s="13">
        <f t="shared" si="0"/>
        <v>0</v>
      </c>
      <c r="L16" s="13"/>
      <c r="M16" s="13"/>
      <c r="N16" s="13"/>
      <c r="O16" s="15"/>
      <c r="P16" s="8"/>
      <c r="Q16" s="46"/>
      <c r="R16" s="36"/>
      <c r="S16" s="36"/>
      <c r="U16" s="23"/>
    </row>
    <row r="17" spans="2:19" x14ac:dyDescent="0.25">
      <c r="B17" s="55"/>
      <c r="C17" s="8"/>
      <c r="D17" s="7"/>
      <c r="E17" s="61"/>
      <c r="F17" s="8"/>
      <c r="G17" s="61"/>
      <c r="H17" s="47"/>
      <c r="I17" s="10"/>
      <c r="J17" s="12"/>
      <c r="K17" s="13">
        <f t="shared" si="0"/>
        <v>0</v>
      </c>
      <c r="L17" s="13"/>
      <c r="M17" s="13"/>
      <c r="N17" s="13"/>
      <c r="O17" s="15"/>
      <c r="P17" s="8"/>
      <c r="Q17" s="46"/>
      <c r="R17" s="36"/>
      <c r="S17" s="36"/>
    </row>
    <row r="18" spans="2:19" x14ac:dyDescent="0.25">
      <c r="B18" s="55"/>
      <c r="C18" s="8"/>
      <c r="D18" s="7"/>
      <c r="E18" s="61"/>
      <c r="F18" s="8"/>
      <c r="G18" s="61"/>
      <c r="H18" s="47"/>
      <c r="I18" s="10"/>
      <c r="J18" s="12"/>
      <c r="K18" s="13">
        <f t="shared" si="0"/>
        <v>0</v>
      </c>
      <c r="L18" s="13"/>
      <c r="M18" s="13"/>
      <c r="N18" s="13"/>
      <c r="O18" s="15"/>
      <c r="P18" s="8"/>
      <c r="Q18" s="46"/>
      <c r="R18" s="36"/>
      <c r="S18" s="36"/>
    </row>
    <row r="19" spans="2:19" x14ac:dyDescent="0.25">
      <c r="B19" s="55"/>
      <c r="C19" s="8"/>
      <c r="D19" s="7"/>
      <c r="E19" s="61"/>
      <c r="F19" s="8"/>
      <c r="G19" s="9"/>
      <c r="H19" s="47"/>
      <c r="I19" s="10"/>
      <c r="J19" s="12"/>
      <c r="K19" s="13">
        <f t="shared" si="0"/>
        <v>0</v>
      </c>
      <c r="L19" s="13"/>
      <c r="M19" s="13"/>
      <c r="N19" s="13"/>
      <c r="O19" s="15"/>
      <c r="P19" s="8"/>
      <c r="Q19" s="46"/>
      <c r="R19" s="36"/>
      <c r="S19" s="36"/>
    </row>
    <row r="20" spans="2:19" x14ac:dyDescent="0.25">
      <c r="B20" s="55"/>
      <c r="C20" s="8"/>
      <c r="D20" s="7"/>
      <c r="E20" s="61"/>
      <c r="F20" s="8"/>
      <c r="G20" s="9"/>
      <c r="H20" s="47"/>
      <c r="I20" s="10"/>
      <c r="J20" s="12"/>
      <c r="K20" s="13">
        <f t="shared" si="0"/>
        <v>0</v>
      </c>
      <c r="L20" s="13"/>
      <c r="M20" s="13"/>
      <c r="N20" s="13"/>
      <c r="O20" s="15"/>
      <c r="P20" s="8"/>
      <c r="Q20" s="46"/>
      <c r="R20" s="36"/>
      <c r="S20" s="36"/>
    </row>
    <row r="21" spans="2:19" x14ac:dyDescent="0.25">
      <c r="B21" s="55"/>
      <c r="C21" s="8"/>
      <c r="D21" s="7"/>
      <c r="E21" s="61"/>
      <c r="F21" s="8"/>
      <c r="G21" s="9"/>
      <c r="H21" s="47"/>
      <c r="I21" s="10"/>
      <c r="J21" s="12"/>
      <c r="K21" s="13">
        <f t="shared" si="0"/>
        <v>0</v>
      </c>
      <c r="L21" s="13"/>
      <c r="M21" s="13"/>
      <c r="N21" s="13"/>
      <c r="O21" s="15">
        <f>L21-K21-N21</f>
        <v>0</v>
      </c>
      <c r="P21" s="8"/>
      <c r="Q21" s="46"/>
      <c r="R21" s="36"/>
      <c r="S21" s="36"/>
    </row>
    <row r="22" spans="2:19" x14ac:dyDescent="0.25">
      <c r="B22" s="55"/>
      <c r="C22" s="8"/>
      <c r="D22" s="7"/>
      <c r="E22" s="61"/>
      <c r="F22" s="8"/>
      <c r="G22" s="9"/>
      <c r="H22" s="47"/>
      <c r="I22" s="10"/>
      <c r="J22" s="12"/>
      <c r="K22" s="13">
        <f t="shared" si="0"/>
        <v>0</v>
      </c>
      <c r="L22" s="13"/>
      <c r="M22" s="13"/>
      <c r="N22" s="13"/>
      <c r="O22" s="15">
        <f>L22-K22-N22</f>
        <v>0</v>
      </c>
      <c r="P22" s="8"/>
      <c r="Q22" s="46"/>
      <c r="R22" s="36"/>
      <c r="S22" s="36"/>
    </row>
    <row r="23" spans="2:19" x14ac:dyDescent="0.25">
      <c r="B23" s="55"/>
      <c r="C23" s="8"/>
      <c r="D23" s="7"/>
      <c r="E23" s="61"/>
      <c r="F23" s="8"/>
      <c r="G23" s="9"/>
      <c r="H23" s="47"/>
      <c r="I23" s="10"/>
      <c r="J23" s="12"/>
      <c r="K23" s="13">
        <f t="shared" si="0"/>
        <v>0</v>
      </c>
      <c r="L23" s="13"/>
      <c r="M23" s="13"/>
      <c r="N23" s="13"/>
      <c r="O23" s="15">
        <f>L23-K23-N23</f>
        <v>0</v>
      </c>
      <c r="P23" s="8"/>
      <c r="Q23" s="46"/>
      <c r="R23" s="36"/>
      <c r="S23" s="36"/>
    </row>
    <row r="24" spans="2:19" x14ac:dyDescent="0.25">
      <c r="B24" s="55"/>
      <c r="C24" s="8"/>
      <c r="D24" s="8"/>
      <c r="E24" s="61"/>
      <c r="F24" s="8"/>
      <c r="G24" s="8"/>
      <c r="H24" s="47"/>
      <c r="I24" s="10"/>
      <c r="J24" s="12"/>
      <c r="K24" s="13">
        <f t="shared" si="0"/>
        <v>0</v>
      </c>
      <c r="L24" s="36"/>
      <c r="M24" s="67"/>
      <c r="N24" s="67">
        <f>SUM(L4:L23)</f>
        <v>0</v>
      </c>
      <c r="O24" s="36"/>
      <c r="P24" s="36"/>
      <c r="Q24" s="67">
        <f>SUM(O4:O23)</f>
        <v>0</v>
      </c>
      <c r="R24" s="36"/>
      <c r="S24" s="36"/>
    </row>
    <row r="25" spans="2:19" x14ac:dyDescent="0.25">
      <c r="B25" s="55"/>
      <c r="C25" s="8"/>
      <c r="D25" s="8"/>
      <c r="E25" s="61"/>
      <c r="F25" s="8"/>
      <c r="G25" s="61"/>
      <c r="H25" s="47"/>
      <c r="I25" s="10"/>
      <c r="J25" s="12"/>
      <c r="K25" s="13">
        <f t="shared" si="0"/>
        <v>0</v>
      </c>
      <c r="L25" s="36"/>
      <c r="M25" s="36"/>
      <c r="N25" s="36"/>
      <c r="O25" s="36"/>
      <c r="P25" s="36"/>
      <c r="Q25" s="36"/>
      <c r="R25" s="36"/>
      <c r="S25" s="36"/>
    </row>
    <row r="26" spans="2:19" x14ac:dyDescent="0.25">
      <c r="B26" s="55"/>
      <c r="C26" s="8"/>
      <c r="D26" s="8"/>
      <c r="E26" s="61"/>
      <c r="F26" s="8"/>
      <c r="G26" s="61"/>
      <c r="H26" s="47"/>
      <c r="I26" s="10"/>
      <c r="J26" s="12"/>
      <c r="K26" s="13">
        <f t="shared" si="0"/>
        <v>0</v>
      </c>
      <c r="L26" s="36"/>
      <c r="M26" s="36"/>
      <c r="N26" s="36"/>
      <c r="O26" s="36"/>
      <c r="P26" s="36"/>
      <c r="Q26" s="36"/>
      <c r="R26" s="36"/>
      <c r="S26" s="36"/>
    </row>
    <row r="27" ht="29.25" customHeight="1" spans="2:19" x14ac:dyDescent="0.25">
      <c r="B27" s="55"/>
      <c r="C27" s="8"/>
      <c r="D27" s="8"/>
      <c r="E27" s="61"/>
      <c r="F27" s="8"/>
      <c r="G27" s="8"/>
      <c r="H27" s="47"/>
      <c r="I27" s="10"/>
      <c r="J27" s="12"/>
      <c r="K27" s="13">
        <f t="shared" si="0"/>
        <v>0</v>
      </c>
      <c r="L27" s="36"/>
      <c r="M27" s="36"/>
      <c r="N27" s="36"/>
      <c r="O27" s="36"/>
      <c r="P27" s="36"/>
      <c r="Q27" s="36"/>
      <c r="R27" s="36"/>
      <c r="S27" s="36"/>
    </row>
    <row r="28" spans="2:19" x14ac:dyDescent="0.25">
      <c r="B28" s="55"/>
      <c r="C28" s="8"/>
      <c r="D28" s="8"/>
      <c r="E28" s="61"/>
      <c r="F28" s="8"/>
      <c r="G28" s="8"/>
      <c r="H28" s="47"/>
      <c r="I28" s="10"/>
      <c r="J28" s="12"/>
      <c r="K28" s="13">
        <f t="shared" si="0"/>
        <v>0</v>
      </c>
      <c r="L28" s="36"/>
      <c r="M28" s="36"/>
      <c r="N28" s="36"/>
      <c r="O28" s="36"/>
      <c r="P28" s="36"/>
      <c r="Q28" s="36"/>
      <c r="R28" s="36"/>
      <c r="S28" s="36"/>
    </row>
    <row r="29" spans="2:19" x14ac:dyDescent="0.25">
      <c r="B29" s="55"/>
      <c r="C29" s="8"/>
      <c r="D29" s="8"/>
      <c r="E29" s="61"/>
      <c r="F29" s="8"/>
      <c r="G29" s="61"/>
      <c r="H29" s="47"/>
      <c r="I29" s="10"/>
      <c r="J29" s="12"/>
      <c r="K29" s="13">
        <f t="shared" si="0"/>
        <v>0</v>
      </c>
      <c r="L29" s="36"/>
      <c r="M29" s="36"/>
      <c r="N29" s="36"/>
      <c r="O29" s="36"/>
      <c r="P29" s="36"/>
      <c r="Q29" s="36"/>
      <c r="R29" s="36"/>
      <c r="S29" s="36"/>
    </row>
    <row r="30" spans="2:19" x14ac:dyDescent="0.25">
      <c r="B30" s="55"/>
      <c r="C30" s="8"/>
      <c r="D30" s="8"/>
      <c r="E30" s="61"/>
      <c r="F30" s="8"/>
      <c r="G30" s="61"/>
      <c r="H30" s="47"/>
      <c r="I30" s="10"/>
      <c r="J30" s="12"/>
      <c r="K30" s="13">
        <f t="shared" si="0"/>
        <v>0</v>
      </c>
      <c r="L30" s="36"/>
      <c r="M30" s="36"/>
      <c r="N30" s="36"/>
      <c r="O30" s="36"/>
      <c r="P30" s="36"/>
      <c r="Q30" s="36"/>
      <c r="R30" s="36"/>
      <c r="S30" s="36"/>
    </row>
    <row r="31" ht="30.75" customHeight="1" spans="2:19" x14ac:dyDescent="0.25">
      <c r="B31" s="55"/>
      <c r="C31" s="8"/>
      <c r="D31" s="8"/>
      <c r="E31" s="61"/>
      <c r="F31" s="8"/>
      <c r="G31" s="8"/>
      <c r="H31" s="47"/>
      <c r="I31" s="10"/>
      <c r="J31" s="12"/>
      <c r="K31" s="13">
        <f t="shared" si="0"/>
        <v>0</v>
      </c>
      <c r="L31" s="36"/>
      <c r="M31" s="36"/>
      <c r="N31" s="36"/>
      <c r="O31" s="36"/>
      <c r="P31" s="36"/>
      <c r="Q31" s="36"/>
      <c r="R31" s="36"/>
      <c r="S31" s="36"/>
    </row>
    <row r="32" spans="2:19" x14ac:dyDescent="0.25">
      <c r="B32" s="55"/>
      <c r="C32" s="8"/>
      <c r="D32" s="8"/>
      <c r="E32" s="61"/>
      <c r="F32" s="8"/>
      <c r="G32" s="8"/>
      <c r="H32" s="47"/>
      <c r="I32" s="10"/>
      <c r="J32" s="12"/>
      <c r="K32" s="13">
        <f t="shared" si="0"/>
        <v>0</v>
      </c>
      <c r="L32" s="36"/>
      <c r="M32" s="36"/>
      <c r="N32" s="36"/>
      <c r="O32" s="36"/>
      <c r="P32" s="36"/>
      <c r="Q32" s="36"/>
      <c r="R32" s="36"/>
      <c r="S32" s="36"/>
    </row>
    <row r="33" spans="2:19" x14ac:dyDescent="0.25">
      <c r="B33" s="55"/>
      <c r="C33" s="8"/>
      <c r="D33" s="8"/>
      <c r="E33" s="61"/>
      <c r="F33" s="8"/>
      <c r="G33" s="61"/>
      <c r="H33" s="47"/>
      <c r="I33" s="10"/>
      <c r="J33" s="12"/>
      <c r="K33" s="13">
        <f t="shared" si="0"/>
        <v>0</v>
      </c>
      <c r="L33" s="36"/>
      <c r="M33" s="36"/>
      <c r="N33" s="36"/>
      <c r="O33" s="36"/>
      <c r="P33" s="36"/>
      <c r="Q33" s="36"/>
      <c r="R33" s="36"/>
      <c r="S33" s="36"/>
    </row>
    <row r="34" spans="2:19" x14ac:dyDescent="0.25">
      <c r="B34" s="55"/>
      <c r="C34" s="8"/>
      <c r="D34" s="8"/>
      <c r="E34" s="61"/>
      <c r="F34" s="8"/>
      <c r="G34" s="8"/>
      <c r="H34" s="47"/>
      <c r="I34" s="10"/>
      <c r="J34" s="12"/>
      <c r="K34" s="13">
        <f t="shared" si="0"/>
        <v>0</v>
      </c>
      <c r="L34" s="36"/>
      <c r="M34" s="36"/>
      <c r="N34" s="36"/>
      <c r="O34" s="36"/>
      <c r="P34" s="36"/>
      <c r="Q34" s="36"/>
      <c r="R34" s="36"/>
      <c r="S34" s="36"/>
    </row>
    <row r="35" spans="2:19" x14ac:dyDescent="0.25">
      <c r="B35" s="55"/>
      <c r="C35" s="8"/>
      <c r="D35" s="8"/>
      <c r="E35" s="61"/>
      <c r="F35" s="8"/>
      <c r="G35" s="8"/>
      <c r="H35" s="47"/>
      <c r="I35" s="10"/>
      <c r="J35" s="12"/>
      <c r="K35" s="13">
        <f t="shared" si="0"/>
        <v>0</v>
      </c>
      <c r="L35" s="36"/>
      <c r="M35" s="36"/>
      <c r="N35" s="36"/>
      <c r="O35" s="36"/>
      <c r="P35" s="36"/>
      <c r="Q35" s="36"/>
      <c r="R35" s="36"/>
      <c r="S35" s="36"/>
    </row>
    <row r="36" spans="2:19" x14ac:dyDescent="0.25">
      <c r="B36" s="55"/>
      <c r="C36" s="8"/>
      <c r="D36" s="8"/>
      <c r="E36" s="61"/>
      <c r="F36" s="8"/>
      <c r="G36" s="61"/>
      <c r="H36" s="47"/>
      <c r="I36" s="10"/>
      <c r="J36" s="12"/>
      <c r="K36" s="13">
        <f t="shared" si="0"/>
        <v>0</v>
      </c>
      <c r="L36" s="36"/>
      <c r="M36" s="36"/>
      <c r="N36" s="36"/>
      <c r="O36" s="36"/>
      <c r="P36" s="36"/>
      <c r="Q36" s="36"/>
      <c r="R36" s="36"/>
      <c r="S36" s="36"/>
    </row>
    <row r="37" spans="2:19" x14ac:dyDescent="0.25">
      <c r="B37" s="55"/>
      <c r="C37" s="8"/>
      <c r="D37" s="8"/>
      <c r="E37" s="61"/>
      <c r="F37" s="8"/>
      <c r="G37" s="8"/>
      <c r="H37" s="47"/>
      <c r="I37" s="10"/>
      <c r="J37" s="12"/>
      <c r="K37" s="13">
        <f t="shared" si="0"/>
        <v>0</v>
      </c>
      <c r="L37" s="36"/>
      <c r="M37" s="36"/>
      <c r="N37" s="36"/>
      <c r="O37" s="36"/>
      <c r="P37" s="36"/>
      <c r="Q37" s="36"/>
      <c r="R37" s="36"/>
      <c r="S37" s="36"/>
    </row>
    <row r="38" spans="2:19" x14ac:dyDescent="0.25">
      <c r="B38" s="55"/>
      <c r="C38" s="8"/>
      <c r="D38" s="8"/>
      <c r="E38" s="61"/>
      <c r="F38" s="8"/>
      <c r="G38" s="8"/>
      <c r="H38" s="47"/>
      <c r="I38" s="10"/>
      <c r="J38" s="12"/>
      <c r="K38" s="13">
        <f t="shared" si="0"/>
        <v>0</v>
      </c>
      <c r="L38" s="36"/>
      <c r="M38" s="36"/>
      <c r="N38" s="36"/>
      <c r="O38" s="36"/>
      <c r="P38" s="36"/>
      <c r="Q38" s="36"/>
      <c r="R38" s="36"/>
      <c r="S38" s="36"/>
    </row>
    <row r="39" spans="2:19" x14ac:dyDescent="0.25">
      <c r="B39" s="55"/>
      <c r="C39" s="8"/>
      <c r="D39" s="8"/>
      <c r="E39" s="61"/>
      <c r="F39" s="8"/>
      <c r="G39" s="61"/>
      <c r="H39" s="47"/>
      <c r="I39" s="10"/>
      <c r="J39" s="12"/>
      <c r="K39" s="13">
        <f t="shared" si="0"/>
        <v>0</v>
      </c>
      <c r="L39" s="36"/>
      <c r="M39" s="36"/>
      <c r="N39" s="36"/>
      <c r="O39" s="36"/>
      <c r="P39" s="36"/>
      <c r="Q39" s="36"/>
      <c r="R39" s="36"/>
      <c r="S39" s="36"/>
    </row>
    <row r="40" spans="2:19" x14ac:dyDescent="0.25">
      <c r="B40" s="55"/>
      <c r="C40" s="8"/>
      <c r="D40" s="8"/>
      <c r="E40" s="61"/>
      <c r="F40" s="8"/>
      <c r="G40" s="8"/>
      <c r="H40" s="47"/>
      <c r="I40" s="10"/>
      <c r="J40" s="12"/>
      <c r="K40" s="13">
        <f t="shared" si="0"/>
        <v>0</v>
      </c>
      <c r="L40" s="36"/>
      <c r="M40" s="36"/>
      <c r="N40" s="36"/>
      <c r="O40" s="36"/>
      <c r="P40" s="36"/>
      <c r="Q40" s="36"/>
      <c r="R40" s="36"/>
      <c r="S40" s="36"/>
    </row>
    <row r="41" spans="2:19" x14ac:dyDescent="0.25">
      <c r="B41" s="55"/>
      <c r="C41" s="8"/>
      <c r="D41" s="8"/>
      <c r="E41" s="61"/>
      <c r="F41" s="8"/>
      <c r="G41" s="8"/>
      <c r="H41" s="47"/>
      <c r="I41" s="10"/>
      <c r="J41" s="12"/>
      <c r="K41" s="13">
        <f t="shared" si="0"/>
        <v>0</v>
      </c>
      <c r="L41" s="36"/>
      <c r="M41" s="36"/>
      <c r="N41" s="36"/>
      <c r="O41" s="36"/>
      <c r="P41" s="36"/>
      <c r="Q41" s="36"/>
      <c r="R41" s="36"/>
      <c r="S41" s="36"/>
    </row>
    <row r="42" spans="2:19" x14ac:dyDescent="0.25">
      <c r="B42" s="55"/>
      <c r="C42" s="8"/>
      <c r="D42" s="8"/>
      <c r="E42" s="61"/>
      <c r="F42" s="8"/>
      <c r="G42" s="61"/>
      <c r="H42" s="47"/>
      <c r="I42" s="10"/>
      <c r="J42" s="12"/>
      <c r="K42" s="13">
        <f t="shared" si="0"/>
        <v>0</v>
      </c>
      <c r="L42" s="36"/>
      <c r="M42" s="36"/>
      <c r="N42" s="36"/>
      <c r="O42" s="36"/>
      <c r="P42" s="36"/>
      <c r="Q42" s="36"/>
      <c r="R42" s="36"/>
      <c r="S42" s="36"/>
    </row>
    <row r="43" spans="2:19" x14ac:dyDescent="0.25">
      <c r="B43" s="55"/>
      <c r="C43" s="8"/>
      <c r="D43" s="8"/>
      <c r="E43" s="61"/>
      <c r="F43" s="8"/>
      <c r="G43" s="8"/>
      <c r="H43" s="47"/>
      <c r="I43" s="10"/>
      <c r="J43" s="12"/>
      <c r="K43" s="13">
        <f t="shared" si="0"/>
        <v>0</v>
      </c>
      <c r="L43" s="36"/>
      <c r="M43" s="36"/>
      <c r="N43" s="36"/>
      <c r="O43" s="36"/>
      <c r="P43" s="36"/>
      <c r="Q43" s="36"/>
      <c r="R43" s="36"/>
      <c r="S43" s="36"/>
    </row>
    <row r="44" spans="2:19" x14ac:dyDescent="0.25">
      <c r="B44" s="55"/>
      <c r="C44" s="8"/>
      <c r="D44" s="8"/>
      <c r="E44" s="61"/>
      <c r="F44" s="8"/>
      <c r="G44" s="8"/>
      <c r="H44" s="47"/>
      <c r="I44" s="10"/>
      <c r="J44" s="12"/>
      <c r="K44" s="13">
        <f t="shared" si="0"/>
        <v>0</v>
      </c>
      <c r="L44" s="36"/>
      <c r="M44" s="36"/>
      <c r="N44" s="36"/>
      <c r="O44" s="36"/>
      <c r="P44" s="36"/>
      <c r="Q44" s="36"/>
      <c r="R44" s="36"/>
      <c r="S44" s="36"/>
    </row>
    <row r="45" spans="2:19" x14ac:dyDescent="0.25">
      <c r="B45" s="55"/>
      <c r="C45" s="8"/>
      <c r="D45" s="8"/>
      <c r="E45" s="61"/>
      <c r="F45" s="8"/>
      <c r="G45" s="61"/>
      <c r="H45" s="47"/>
      <c r="I45" s="10"/>
      <c r="J45" s="12"/>
      <c r="K45" s="13">
        <f t="shared" si="0"/>
        <v>0</v>
      </c>
      <c r="L45" s="36"/>
      <c r="M45" s="36"/>
      <c r="N45" s="36"/>
      <c r="O45" s="36"/>
      <c r="P45" s="36"/>
      <c r="Q45" s="36"/>
      <c r="R45" s="36"/>
      <c r="S45" s="36"/>
    </row>
    <row r="46" spans="2:19" x14ac:dyDescent="0.25">
      <c r="B46" s="55"/>
      <c r="C46" s="8"/>
      <c r="D46" s="8"/>
      <c r="E46" s="61"/>
      <c r="F46" s="8"/>
      <c r="G46" s="8"/>
      <c r="H46" s="47"/>
      <c r="I46" s="10"/>
      <c r="J46" s="12"/>
      <c r="K46" s="13">
        <f t="shared" si="0"/>
        <v>0</v>
      </c>
      <c r="L46" s="36"/>
      <c r="M46" s="36"/>
      <c r="N46" s="36"/>
      <c r="O46" s="36"/>
      <c r="P46" s="36"/>
      <c r="Q46" s="36"/>
      <c r="R46" s="36"/>
      <c r="S46" s="36"/>
    </row>
    <row r="47" spans="2:19" x14ac:dyDescent="0.25">
      <c r="B47" s="55"/>
      <c r="C47" s="8"/>
      <c r="D47" s="8"/>
      <c r="E47" s="61"/>
      <c r="F47" s="8"/>
      <c r="G47" s="8"/>
      <c r="H47" s="47"/>
      <c r="I47" s="10"/>
      <c r="J47" s="12"/>
      <c r="K47" s="13">
        <f t="shared" si="0"/>
        <v>0</v>
      </c>
      <c r="L47" s="36"/>
      <c r="M47" s="36"/>
      <c r="N47" s="36"/>
      <c r="O47" s="36"/>
      <c r="P47" s="36"/>
      <c r="Q47" s="36"/>
      <c r="R47" s="36"/>
      <c r="S47" s="36"/>
    </row>
    <row r="48" spans="2:19" x14ac:dyDescent="0.25">
      <c r="B48" s="55"/>
      <c r="C48" s="8"/>
      <c r="D48" s="8"/>
      <c r="E48" s="61"/>
      <c r="F48" s="8"/>
      <c r="G48" s="8"/>
      <c r="H48" s="47"/>
      <c r="I48" s="10"/>
      <c r="J48" s="12"/>
      <c r="K48" s="13">
        <f t="shared" si="0"/>
        <v>0</v>
      </c>
      <c r="L48" s="36"/>
      <c r="M48" s="36"/>
      <c r="N48" s="36"/>
      <c r="O48" s="36"/>
      <c r="P48" s="36"/>
      <c r="Q48" s="36"/>
      <c r="R48" s="36"/>
      <c r="S48" s="36"/>
    </row>
    <row r="49" spans="2:19" x14ac:dyDescent="0.25">
      <c r="B49" s="55"/>
      <c r="C49" s="8"/>
      <c r="D49" s="8"/>
      <c r="E49" s="61"/>
      <c r="F49" s="8"/>
      <c r="G49" s="8"/>
      <c r="H49" s="47"/>
      <c r="I49" s="10"/>
      <c r="J49" s="12"/>
      <c r="K49" s="13">
        <f t="shared" si="0"/>
        <v>0</v>
      </c>
      <c r="L49" s="36"/>
      <c r="M49" s="36"/>
      <c r="N49" s="36"/>
      <c r="O49" s="36"/>
      <c r="P49" s="36"/>
      <c r="Q49" s="36"/>
      <c r="R49" s="36"/>
      <c r="S49" s="36"/>
    </row>
    <row r="50" spans="2:19" x14ac:dyDescent="0.25">
      <c r="B50" s="55"/>
      <c r="C50" s="8"/>
      <c r="D50" s="8"/>
      <c r="E50" s="61"/>
      <c r="F50" s="8"/>
      <c r="G50" s="61"/>
      <c r="H50" s="47"/>
      <c r="I50" s="10"/>
      <c r="J50" s="12"/>
      <c r="K50" s="13">
        <f t="shared" si="0"/>
        <v>0</v>
      </c>
      <c r="L50" s="36"/>
      <c r="M50" s="36"/>
      <c r="N50" s="36"/>
      <c r="O50" s="36"/>
      <c r="P50" s="36"/>
      <c r="Q50" s="36"/>
      <c r="R50" s="36"/>
      <c r="S50" s="36"/>
    </row>
    <row r="51" spans="2:19" x14ac:dyDescent="0.25">
      <c r="B51" s="55"/>
      <c r="C51" s="8"/>
      <c r="D51" s="8"/>
      <c r="E51" s="61"/>
      <c r="F51" s="8"/>
      <c r="G51" s="8"/>
      <c r="H51" s="47"/>
      <c r="I51" s="10"/>
      <c r="J51" s="12"/>
      <c r="K51" s="13">
        <f t="shared" si="0"/>
        <v>0</v>
      </c>
      <c r="L51" s="36"/>
      <c r="M51" s="36"/>
      <c r="N51" s="36"/>
      <c r="O51" s="36"/>
      <c r="P51" s="36"/>
      <c r="Q51" s="36"/>
      <c r="R51" s="36"/>
      <c r="S51" s="36"/>
    </row>
    <row r="52" spans="2:19" x14ac:dyDescent="0.25">
      <c r="B52" s="55"/>
      <c r="C52" s="8"/>
      <c r="D52" s="8"/>
      <c r="E52" s="61"/>
      <c r="F52" s="8"/>
      <c r="G52" s="8"/>
      <c r="H52" s="47"/>
      <c r="I52" s="10"/>
      <c r="J52" s="12"/>
      <c r="K52" s="13">
        <f t="shared" si="0"/>
        <v>0</v>
      </c>
      <c r="L52" s="36"/>
      <c r="M52" s="36"/>
      <c r="N52" s="36"/>
      <c r="O52" s="36"/>
      <c r="P52" s="36"/>
      <c r="Q52" s="36"/>
      <c r="R52" s="36"/>
      <c r="S52" s="36"/>
    </row>
    <row r="53" spans="2:19" x14ac:dyDescent="0.25">
      <c r="B53" s="86"/>
      <c r="C53" s="8"/>
      <c r="D53" s="83"/>
      <c r="E53" s="72"/>
      <c r="F53" s="55"/>
      <c r="G53" s="57"/>
      <c r="H53" s="84"/>
      <c r="I53" s="52"/>
      <c r="J53" s="12"/>
      <c r="K53" s="13">
        <f t="shared" si="0"/>
        <v>0</v>
      </c>
      <c r="L53" s="36"/>
      <c r="M53" s="36"/>
      <c r="N53" s="36"/>
      <c r="O53" s="36"/>
      <c r="P53" s="36"/>
      <c r="Q53" s="36"/>
      <c r="R53" s="36"/>
      <c r="S53" s="36"/>
    </row>
    <row r="54" spans="2:19" x14ac:dyDescent="0.25">
      <c r="B54" s="55"/>
      <c r="C54" s="8"/>
      <c r="D54" s="8"/>
      <c r="E54" s="87"/>
      <c r="F54" s="8"/>
      <c r="G54" s="8"/>
      <c r="H54" s="8"/>
      <c r="I54" s="8"/>
      <c r="J54" s="12"/>
      <c r="K54" s="13">
        <f t="shared" si="0"/>
        <v>0</v>
      </c>
      <c r="L54" s="36"/>
      <c r="M54" s="36"/>
      <c r="N54" s="36"/>
      <c r="O54" s="36"/>
      <c r="P54" s="36"/>
      <c r="Q54" s="36"/>
      <c r="R54" s="36"/>
      <c r="S54" s="36"/>
    </row>
    <row r="55" spans="2:19" x14ac:dyDescent="0.25">
      <c r="B55" s="55"/>
      <c r="C55" s="8"/>
      <c r="D55" s="8"/>
      <c r="E55" s="87"/>
      <c r="F55" s="8"/>
      <c r="G55" s="8"/>
      <c r="H55" s="8"/>
      <c r="I55" s="8"/>
      <c r="J55" s="12"/>
      <c r="K55" s="13">
        <f t="shared" si="0"/>
        <v>0</v>
      </c>
      <c r="L55" s="36"/>
      <c r="M55" s="36"/>
      <c r="N55" s="36"/>
      <c r="O55" s="36"/>
      <c r="P55" s="36"/>
      <c r="Q55" s="36"/>
      <c r="R55" s="36"/>
      <c r="S55" s="36"/>
    </row>
    <row r="56" spans="2:19" x14ac:dyDescent="0.25">
      <c r="B56" s="55"/>
      <c r="C56" s="8"/>
      <c r="D56" s="8"/>
      <c r="E56" s="87"/>
      <c r="F56" s="8"/>
      <c r="G56" s="61"/>
      <c r="H56" s="10"/>
      <c r="I56" s="58"/>
      <c r="J56" s="12"/>
      <c r="K56" s="13">
        <f t="shared" si="0"/>
        <v>0</v>
      </c>
      <c r="L56" s="36"/>
      <c r="M56" s="36"/>
      <c r="N56" s="36"/>
      <c r="O56" s="36"/>
      <c r="P56" s="36"/>
      <c r="Q56" s="36"/>
      <c r="R56" s="36"/>
      <c r="S56" s="36"/>
    </row>
    <row r="57" spans="2:19" x14ac:dyDescent="0.25">
      <c r="B57" s="55"/>
      <c r="C57" s="8"/>
      <c r="D57" s="8"/>
      <c r="E57" s="87"/>
      <c r="F57" s="8"/>
      <c r="G57" s="8"/>
      <c r="H57" s="8"/>
      <c r="I57" s="8"/>
      <c r="J57" s="12"/>
      <c r="K57" s="13">
        <f t="shared" si="0"/>
        <v>0</v>
      </c>
      <c r="L57" s="36"/>
      <c r="M57" s="36"/>
      <c r="N57" s="36"/>
      <c r="O57" s="36"/>
      <c r="P57" s="36"/>
      <c r="Q57" s="36"/>
      <c r="R57" s="36"/>
      <c r="S57" s="36"/>
    </row>
    <row r="58" spans="2:19" x14ac:dyDescent="0.25">
      <c r="B58" s="55"/>
      <c r="C58" s="8"/>
      <c r="D58" s="8"/>
      <c r="E58" s="87"/>
      <c r="F58" s="8"/>
      <c r="G58" s="8"/>
      <c r="H58" s="8"/>
      <c r="I58" s="8"/>
      <c r="J58" s="12"/>
      <c r="K58" s="13">
        <f t="shared" si="0"/>
        <v>0</v>
      </c>
      <c r="L58" s="36"/>
      <c r="M58" s="36"/>
      <c r="N58" s="36"/>
      <c r="O58" s="36"/>
      <c r="P58" s="36"/>
      <c r="Q58" s="36"/>
      <c r="R58" s="36"/>
      <c r="S58" s="36"/>
    </row>
    <row r="59" spans="2:19" x14ac:dyDescent="0.25">
      <c r="B59" s="55"/>
      <c r="C59" s="8"/>
      <c r="D59" s="8"/>
      <c r="E59" s="87"/>
      <c r="F59" s="8"/>
      <c r="G59" s="61"/>
      <c r="H59" s="10"/>
      <c r="I59" s="58"/>
      <c r="J59" s="12"/>
      <c r="K59" s="13">
        <f t="shared" si="0"/>
        <v>0</v>
      </c>
      <c r="L59" s="36"/>
      <c r="M59" s="36"/>
      <c r="N59" s="36"/>
      <c r="O59" s="36"/>
      <c r="P59" s="36"/>
      <c r="Q59" s="36"/>
      <c r="R59" s="36"/>
      <c r="S59" s="36"/>
    </row>
    <row r="60" spans="2:19" x14ac:dyDescent="0.25">
      <c r="B60" s="55"/>
      <c r="C60" s="8"/>
      <c r="D60" s="8"/>
      <c r="E60" s="55"/>
      <c r="F60" s="8"/>
      <c r="G60" s="8"/>
      <c r="H60" s="8"/>
      <c r="I60" s="8"/>
      <c r="J60" s="12"/>
      <c r="K60" s="13">
        <f t="shared" si="0"/>
        <v>0</v>
      </c>
      <c r="L60" s="36"/>
      <c r="M60" s="36"/>
      <c r="N60" s="36"/>
      <c r="O60" s="36"/>
      <c r="P60" s="36"/>
      <c r="Q60" s="36"/>
      <c r="R60" s="36"/>
      <c r="S60" s="36"/>
    </row>
    <row r="61" spans="2:19" x14ac:dyDescent="0.25">
      <c r="B61" s="55"/>
      <c r="C61" s="8"/>
      <c r="D61" s="8"/>
      <c r="E61" s="55"/>
      <c r="F61" s="8"/>
      <c r="G61" s="81"/>
      <c r="H61" s="8"/>
      <c r="I61" s="8"/>
      <c r="J61" s="12"/>
      <c r="K61" s="13">
        <f t="shared" si="0"/>
        <v>0</v>
      </c>
      <c r="L61" s="36"/>
      <c r="M61" s="36"/>
      <c r="N61" s="36"/>
      <c r="O61" s="36"/>
      <c r="P61" s="36"/>
      <c r="Q61" s="36"/>
      <c r="R61" s="36"/>
      <c r="S61" s="36"/>
    </row>
    <row r="62" spans="2:19" x14ac:dyDescent="0.25">
      <c r="B62" s="55"/>
      <c r="C62" s="8"/>
      <c r="D62" s="8"/>
      <c r="E62" s="55"/>
      <c r="F62" s="8"/>
      <c r="G62" s="61"/>
      <c r="H62" s="10"/>
      <c r="I62" s="58"/>
      <c r="J62" s="12"/>
      <c r="K62" s="13">
        <f t="shared" si="0"/>
        <v>0</v>
      </c>
      <c r="L62" s="36"/>
      <c r="M62" s="36"/>
      <c r="N62" s="36"/>
      <c r="O62" s="36"/>
      <c r="P62" s="36"/>
      <c r="Q62" s="36"/>
      <c r="R62" s="36"/>
      <c r="S62" s="36"/>
    </row>
    <row r="63" spans="2:19" x14ac:dyDescent="0.25">
      <c r="B63" s="55"/>
      <c r="C63" s="8"/>
      <c r="D63" s="8"/>
      <c r="E63" s="55"/>
      <c r="F63" s="8"/>
      <c r="G63" s="8"/>
      <c r="H63" s="8"/>
      <c r="I63" s="8"/>
      <c r="J63" s="12"/>
      <c r="K63" s="13">
        <f t="shared" si="0"/>
        <v>0</v>
      </c>
      <c r="L63" s="36"/>
      <c r="M63" s="36"/>
      <c r="N63" s="36"/>
      <c r="O63" s="36"/>
      <c r="P63" s="36"/>
      <c r="Q63" s="36"/>
      <c r="R63" s="36"/>
      <c r="S63" s="36"/>
    </row>
    <row r="64" spans="2:19" x14ac:dyDescent="0.25">
      <c r="B64" s="55"/>
      <c r="C64" s="8"/>
      <c r="D64" s="8"/>
      <c r="E64" s="55"/>
      <c r="F64" s="8"/>
      <c r="G64" s="8"/>
      <c r="H64" s="8"/>
      <c r="I64" s="8"/>
      <c r="J64" s="12"/>
      <c r="K64" s="13">
        <f t="shared" si="0"/>
        <v>0</v>
      </c>
      <c r="L64" s="36"/>
      <c r="M64" s="36"/>
      <c r="N64" s="36"/>
      <c r="O64" s="36"/>
      <c r="P64" s="36"/>
      <c r="Q64" s="36"/>
      <c r="R64" s="36"/>
      <c r="S64" s="36"/>
    </row>
    <row r="65" spans="6:11" x14ac:dyDescent="0.25">
      <c r="F65" t="s">
        <v>476</v>
      </c>
      <c r="J65" s="75">
        <f>SUM(J4:J64)</f>
        <v>430.82</v>
      </c>
      <c r="K65" s="43">
        <f>SUM(K4:K64)</f>
        <v>1507.8700000000001</v>
      </c>
    </row>
    <row r="66" spans="9:9" x14ac:dyDescent="0.25">
      <c r="I66" s="53"/>
    </row>
    <row r="67" spans="9:9" x14ac:dyDescent="0.25">
      <c r="I67" s="54"/>
    </row>
    <row r="68" spans="9:9" x14ac:dyDescent="0.25">
      <c r="I68" s="53"/>
    </row>
    <row r="69" spans="9:9" x14ac:dyDescent="0.25">
      <c r="I69" s="54"/>
    </row>
    <row r="70" spans="9:9" x14ac:dyDescent="0.25">
      <c r="I70" s="53"/>
    </row>
    <row r="71" spans="9:9" x14ac:dyDescent="0.25">
      <c r="I71" s="54"/>
    </row>
    <row r="74" spans="9:9" x14ac:dyDescent="0.25">
      <c r="I74" s="53"/>
    </row>
    <row r="75" spans="9:9" x14ac:dyDescent="0.25">
      <c r="I75" s="54"/>
    </row>
    <row r="77" spans="9:9" x14ac:dyDescent="0.25">
      <c r="I77" s="53"/>
    </row>
    <row r="78" spans="9:9" x14ac:dyDescent="0.25">
      <c r="I78" s="54"/>
    </row>
    <row r="88" spans="12:12" x14ac:dyDescent="0.25">
      <c r="L88" s="53"/>
    </row>
    <row r="89" ht="15.75" customHeight="1" spans="2:11" x14ac:dyDescent="0.25">
      <c r="B89" s="51" t="s">
        <v>123</v>
      </c>
      <c r="C89" s="51"/>
      <c r="D89" s="51"/>
      <c r="E89" s="51"/>
      <c r="F89" s="51"/>
      <c r="G89" s="51"/>
      <c r="H89" s="51"/>
      <c r="I89" s="51"/>
      <c r="J89" s="51"/>
      <c r="K89" s="51"/>
    </row>
    <row r="90" spans="2:11" x14ac:dyDescent="0.25">
      <c r="B90" s="1" t="s">
        <v>0</v>
      </c>
      <c r="C90" s="1" t="s">
        <v>124</v>
      </c>
      <c r="D90" s="2" t="s">
        <v>61</v>
      </c>
      <c r="E90" s="2" t="s">
        <v>9</v>
      </c>
      <c r="F90" s="2" t="s">
        <v>10</v>
      </c>
      <c r="G90" s="2" t="s">
        <v>62</v>
      </c>
      <c r="H90" s="2" t="s">
        <v>11</v>
      </c>
      <c r="I90" s="2" t="s">
        <v>12</v>
      </c>
      <c r="J90" s="44" t="s">
        <v>64</v>
      </c>
      <c r="K90" s="45" t="s">
        <v>13</v>
      </c>
    </row>
    <row r="91" spans="2:11" x14ac:dyDescent="0.25">
      <c r="B91" s="36"/>
      <c r="C91" s="36"/>
      <c r="D91" s="36"/>
      <c r="E91" s="36"/>
      <c r="F91" s="36"/>
      <c r="G91" s="36"/>
      <c r="H91" s="36"/>
      <c r="I91" s="36"/>
      <c r="J91" s="36"/>
      <c r="K91" s="36"/>
    </row>
    <row r="92" spans="2:11" x14ac:dyDescent="0.25">
      <c r="B92" s="36"/>
      <c r="C92" s="36"/>
      <c r="D92" s="36"/>
      <c r="E92" s="36"/>
      <c r="F92" s="36"/>
      <c r="G92" s="36"/>
      <c r="H92" s="36"/>
      <c r="I92" s="36"/>
      <c r="J92" s="36"/>
      <c r="K92" s="36"/>
    </row>
    <row r="93" spans="2:11" x14ac:dyDescent="0.25">
      <c r="B93" s="36"/>
      <c r="C93" s="36"/>
      <c r="D93" s="36"/>
      <c r="E93" s="36"/>
      <c r="F93" s="36"/>
      <c r="G93" s="36"/>
      <c r="H93" s="36"/>
      <c r="I93" s="36"/>
      <c r="J93" s="36"/>
      <c r="K93" s="36"/>
    </row>
    <row r="94" spans="2:11" x14ac:dyDescent="0.25">
      <c r="B94" s="36"/>
      <c r="C94" s="36"/>
      <c r="D94" s="36"/>
      <c r="E94" s="36"/>
      <c r="F94" s="36"/>
      <c r="G94" s="36"/>
      <c r="H94" s="36"/>
      <c r="I94" s="36"/>
      <c r="J94" s="36"/>
      <c r="K94" s="36"/>
    </row>
    <row r="95" spans="2:11" x14ac:dyDescent="0.25">
      <c r="B95" s="36"/>
      <c r="C95" s="36"/>
      <c r="D95" s="36"/>
      <c r="E95" s="36"/>
      <c r="F95" s="36"/>
      <c r="G95" s="36"/>
      <c r="H95" s="36"/>
      <c r="I95" s="36"/>
      <c r="J95" s="36"/>
      <c r="K95" s="36"/>
    </row>
    <row r="96" spans="2:11" x14ac:dyDescent="0.25">
      <c r="B96" s="36"/>
      <c r="C96" s="36"/>
      <c r="D96" s="36"/>
      <c r="E96" s="36"/>
      <c r="F96" s="36"/>
      <c r="G96" s="36"/>
      <c r="H96" s="36"/>
      <c r="I96" s="36"/>
      <c r="J96" s="36"/>
      <c r="K96" s="36"/>
    </row>
    <row r="97" spans="2:11" x14ac:dyDescent="0.25">
      <c r="B97" s="36"/>
      <c r="C97" s="36"/>
      <c r="D97" s="36"/>
      <c r="E97" s="36"/>
      <c r="F97" s="36"/>
      <c r="G97" s="36"/>
      <c r="H97" s="36"/>
      <c r="I97" s="36"/>
      <c r="J97" s="36"/>
      <c r="K97" s="36"/>
    </row>
    <row r="98" spans="2:11" x14ac:dyDescent="0.25">
      <c r="B98" s="36"/>
      <c r="C98" s="36"/>
      <c r="D98" s="36"/>
      <c r="E98" s="36"/>
      <c r="F98" s="36"/>
      <c r="G98" s="36"/>
      <c r="H98" s="36"/>
      <c r="I98" s="36"/>
      <c r="J98" s="36"/>
      <c r="K98" s="36"/>
    </row>
    <row r="99" spans="2:11" x14ac:dyDescent="0.25">
      <c r="B99" s="36"/>
      <c r="C99" s="36"/>
      <c r="D99" s="36"/>
      <c r="E99" s="36"/>
      <c r="F99" s="36"/>
      <c r="G99" s="36"/>
      <c r="H99" s="36"/>
      <c r="I99" s="36"/>
      <c r="J99" s="36"/>
      <c r="K99" s="36"/>
    </row>
    <row r="100" spans="12:12" x14ac:dyDescent="0.25">
      <c r="L100" s="54"/>
    </row>
  </sheetData>
  <hyperlinks>
    <hyperlink ref="H4" r:id="rId1"/>
    <hyperlink ref="I4" r:id="rId2"/>
    <hyperlink ref="H5" r:id="rId3"/>
    <hyperlink ref="I5" r:id="rId4"/>
    <hyperlink ref="H6" r:id="rId5"/>
    <hyperlink ref="I6" r:id="rId6"/>
    <hyperlink ref="H7" r:id="rId7"/>
    <hyperlink ref="I7" r:id="rId8"/>
    <hyperlink ref="H8" r:id="rId9"/>
    <hyperlink ref="I8" r:id="rId10"/>
  </hyperlinks>
  <pageMargins left="0.7" right="0.7" top="0.75" bottom="0.75" header="0.3" footer="0.3"/>
  <pageSetup paperSize="9" orientation="portrait" horizontalDpi="360" verticalDpi="360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100"/>
  <sheetViews>
    <sheetView workbookViewId="0" zoomScale="70" zoomScaleNormal="70">
      <selection activeCell="G49" sqref="G49"/>
    </sheetView>
  </sheetViews>
  <sheetFormatPr defaultRowHeight="15" outlineLevelRow="0" outlineLevelCol="0" x14ac:dyDescent="0.25"/>
  <cols>
    <col min="1" max="1" width="9.42578125" customWidth="1"/>
    <col min="2" max="2" width="39.5703125" customWidth="1"/>
    <col min="3" max="3" width="15" customWidth="1"/>
    <col min="4" max="4" width="30.140625" customWidth="1"/>
    <col min="5" max="5" width="23.7109375" customWidth="1"/>
    <col min="6" max="6" width="27.5703125" customWidth="1"/>
    <col min="7" max="7" width="44.5703125" customWidth="1"/>
    <col min="8" max="8" width="41" customWidth="1"/>
    <col min="9" max="9" width="138.7109375" customWidth="1"/>
    <col min="10" max="10" width="23.5703125" customWidth="1"/>
    <col min="11" max="11" width="25.85546875" customWidth="1"/>
    <col min="12" max="12" width="24.85546875" customWidth="1"/>
    <col min="13" max="13" width="26.7109375" customWidth="1"/>
    <col min="14" max="14" width="22.85546875" customWidth="1"/>
    <col min="15" max="16" width="17.42578125" customWidth="1"/>
    <col min="17" max="17" width="13.42578125" customWidth="1"/>
    <col min="18" max="18" width="13" customWidth="1"/>
    <col min="19" max="19" width="18.28515625" customWidth="1"/>
    <col min="20" max="20" width="17.5703125" customWidth="1"/>
    <col min="21" max="21" width="19.140625" customWidth="1"/>
    <col min="23" max="23" width="21" customWidth="1"/>
  </cols>
  <sheetData>
    <row r="2" ht="15.75" customHeight="1" x14ac:dyDescent="0.25"/>
    <row r="3" ht="29.25" customHeight="1" spans="2:21" x14ac:dyDescent="0.25">
      <c r="B3" s="1" t="s">
        <v>0</v>
      </c>
      <c r="C3" s="2" t="s">
        <v>58</v>
      </c>
      <c r="D3" s="2" t="s">
        <v>59</v>
      </c>
      <c r="E3" s="2" t="s">
        <v>53</v>
      </c>
      <c r="F3" s="2" t="s">
        <v>3</v>
      </c>
      <c r="G3" s="2" t="s">
        <v>4</v>
      </c>
      <c r="H3" s="2" t="s">
        <v>60</v>
      </c>
      <c r="I3" s="2" t="s">
        <v>6</v>
      </c>
      <c r="J3" s="2" t="s">
        <v>7</v>
      </c>
      <c r="K3" s="2" t="s">
        <v>61</v>
      </c>
      <c r="L3" s="2" t="s">
        <v>9</v>
      </c>
      <c r="M3" s="2" t="s">
        <v>10</v>
      </c>
      <c r="N3" s="2" t="s">
        <v>62</v>
      </c>
      <c r="O3" s="2" t="s">
        <v>11</v>
      </c>
      <c r="P3" s="2" t="s">
        <v>12</v>
      </c>
      <c r="Q3" s="44" t="s">
        <v>64</v>
      </c>
      <c r="R3" s="45" t="s">
        <v>13</v>
      </c>
      <c r="S3" s="45" t="s">
        <v>65</v>
      </c>
      <c r="U3" s="4" t="s">
        <v>14</v>
      </c>
    </row>
    <row r="4" ht="32.25" customHeight="1" spans="2:21" x14ac:dyDescent="0.25">
      <c r="B4" s="55" t="s">
        <v>639</v>
      </c>
      <c r="C4" s="85" t="s">
        <v>66</v>
      </c>
      <c r="D4" s="55" t="s">
        <v>66</v>
      </c>
      <c r="E4" s="55" t="s">
        <v>640</v>
      </c>
      <c r="F4" s="55" t="s">
        <v>16</v>
      </c>
      <c r="G4" s="57" t="s">
        <v>641</v>
      </c>
      <c r="H4" s="10" t="s">
        <v>147</v>
      </c>
      <c r="I4" s="91" t="s">
        <v>642</v>
      </c>
      <c r="J4" s="92">
        <v>54.99</v>
      </c>
      <c r="K4" s="13">
        <f>J4*$U$4</f>
        <v>192.465</v>
      </c>
      <c r="L4" s="13"/>
      <c r="M4" s="13"/>
      <c r="N4" s="13"/>
      <c r="O4" s="15"/>
      <c r="P4" s="8"/>
      <c r="Q4" s="46"/>
      <c r="R4" s="8"/>
      <c r="S4" s="36"/>
      <c r="U4" s="8">
        <v>3.5</v>
      </c>
    </row>
    <row r="5" spans="2:21" x14ac:dyDescent="0.25">
      <c r="B5" s="55" t="s">
        <v>643</v>
      </c>
      <c r="C5" s="85" t="s">
        <v>66</v>
      </c>
      <c r="D5" s="55" t="s">
        <v>66</v>
      </c>
      <c r="E5" s="55" t="s">
        <v>644</v>
      </c>
      <c r="F5" s="55" t="s">
        <v>130</v>
      </c>
      <c r="G5" s="55" t="s">
        <v>645</v>
      </c>
      <c r="H5" s="10" t="s">
        <v>234</v>
      </c>
      <c r="I5" s="93" t="s">
        <v>646</v>
      </c>
      <c r="J5" s="92">
        <v>70</v>
      </c>
      <c r="K5" s="13">
        <f t="shared" ref="K5:K64" si="0">J5*$U$4</f>
        <v>245</v>
      </c>
      <c r="L5" s="13"/>
      <c r="M5" s="13"/>
      <c r="N5" s="13"/>
      <c r="O5" s="15"/>
      <c r="P5" s="8"/>
      <c r="Q5" s="46"/>
      <c r="R5" s="8"/>
      <c r="S5" s="36"/>
      <c r="U5" s="20"/>
    </row>
    <row r="6" spans="2:21" x14ac:dyDescent="0.25">
      <c r="B6" s="55" t="s">
        <v>647</v>
      </c>
      <c r="C6" s="85" t="s">
        <v>66</v>
      </c>
      <c r="D6" s="55" t="s">
        <v>66</v>
      </c>
      <c r="E6" s="55" t="s">
        <v>648</v>
      </c>
      <c r="F6" s="55" t="s">
        <v>130</v>
      </c>
      <c r="G6" s="55" t="s">
        <v>649</v>
      </c>
      <c r="H6" s="10" t="s">
        <v>234</v>
      </c>
      <c r="I6" s="93" t="s">
        <v>650</v>
      </c>
      <c r="J6" s="92">
        <v>79.95</v>
      </c>
      <c r="K6" s="13">
        <f t="shared" si="0"/>
        <v>279.825</v>
      </c>
      <c r="L6" s="13"/>
      <c r="M6" s="13"/>
      <c r="N6" s="13"/>
      <c r="O6" s="15"/>
      <c r="P6" s="8"/>
      <c r="Q6" s="46"/>
      <c r="R6" s="8"/>
      <c r="S6" s="36"/>
      <c r="U6" s="20"/>
    </row>
    <row r="7" ht="21" customHeight="1" spans="2:21" x14ac:dyDescent="0.25">
      <c r="B7" s="55" t="s">
        <v>651</v>
      </c>
      <c r="C7" s="85" t="s">
        <v>66</v>
      </c>
      <c r="D7" s="55" t="s">
        <v>66</v>
      </c>
      <c r="E7" s="55" t="s">
        <v>652</v>
      </c>
      <c r="F7" s="55" t="s">
        <v>16</v>
      </c>
      <c r="G7" s="57" t="s">
        <v>653</v>
      </c>
      <c r="H7" s="10" t="s">
        <v>147</v>
      </c>
      <c r="I7" s="94" t="s">
        <v>654</v>
      </c>
      <c r="J7" s="92">
        <v>91.79</v>
      </c>
      <c r="K7" s="13">
        <f t="shared" si="0"/>
        <v>321.26500000000004</v>
      </c>
      <c r="L7" s="13"/>
      <c r="M7" s="13"/>
      <c r="N7" s="13"/>
      <c r="O7" s="15"/>
      <c r="P7" s="8"/>
      <c r="Q7" s="46"/>
      <c r="R7" s="8"/>
      <c r="S7" s="36"/>
      <c r="U7" s="22"/>
    </row>
    <row r="8" spans="2:21" x14ac:dyDescent="0.25">
      <c r="B8" s="88" t="s">
        <v>655</v>
      </c>
      <c r="C8" s="85" t="s">
        <v>66</v>
      </c>
      <c r="D8" s="55" t="s">
        <v>66</v>
      </c>
      <c r="E8" s="88" t="s">
        <v>656</v>
      </c>
      <c r="F8" s="55" t="s">
        <v>130</v>
      </c>
      <c r="G8" s="57" t="s">
        <v>657</v>
      </c>
      <c r="H8" s="47" t="s">
        <v>147</v>
      </c>
      <c r="I8" s="47" t="s">
        <v>658</v>
      </c>
      <c r="J8" s="92">
        <v>189.99</v>
      </c>
      <c r="K8" s="13">
        <f t="shared" si="0"/>
        <v>664.965</v>
      </c>
      <c r="L8" s="13"/>
      <c r="M8" s="13"/>
      <c r="N8" s="13"/>
      <c r="O8" s="15"/>
      <c r="P8" s="8"/>
      <c r="Q8" s="46"/>
      <c r="R8" s="8"/>
      <c r="S8" s="36"/>
      <c r="U8" s="23"/>
    </row>
    <row r="9" ht="29.25" customHeight="1" spans="2:21" x14ac:dyDescent="0.25">
      <c r="B9" s="88" t="s">
        <v>659</v>
      </c>
      <c r="C9" s="85" t="s">
        <v>66</v>
      </c>
      <c r="D9" s="55" t="s">
        <v>66</v>
      </c>
      <c r="E9" s="88" t="s">
        <v>660</v>
      </c>
      <c r="F9" s="55" t="s">
        <v>16</v>
      </c>
      <c r="G9" s="57" t="s">
        <v>661</v>
      </c>
      <c r="H9" s="47" t="s">
        <v>147</v>
      </c>
      <c r="I9" s="47" t="s">
        <v>662</v>
      </c>
      <c r="J9" s="92">
        <v>97.99</v>
      </c>
      <c r="K9" s="13">
        <f t="shared" si="0"/>
        <v>342.965</v>
      </c>
      <c r="L9" s="13"/>
      <c r="M9" s="13"/>
      <c r="N9" s="13"/>
      <c r="O9" s="15"/>
      <c r="P9" s="8"/>
      <c r="Q9" s="46"/>
      <c r="R9" s="8"/>
      <c r="S9" s="36"/>
      <c r="U9" s="20"/>
    </row>
    <row r="10" spans="2:21" s="62" customFormat="1" x14ac:dyDescent="0.25">
      <c r="B10" s="88" t="s">
        <v>663</v>
      </c>
      <c r="C10" s="85" t="s">
        <v>66</v>
      </c>
      <c r="D10" s="55" t="s">
        <v>66</v>
      </c>
      <c r="E10" s="95" t="s">
        <v>664</v>
      </c>
      <c r="F10" s="55" t="s">
        <v>16</v>
      </c>
      <c r="G10" s="57" t="s">
        <v>665</v>
      </c>
      <c r="H10" s="84" t="s">
        <v>147</v>
      </c>
      <c r="I10" s="84" t="s">
        <v>666</v>
      </c>
      <c r="J10" s="92">
        <v>289.99</v>
      </c>
      <c r="K10" s="13">
        <f t="shared" si="0"/>
        <v>1014.965</v>
      </c>
      <c r="L10" s="64"/>
      <c r="M10" s="64"/>
      <c r="N10" s="64"/>
      <c r="O10" s="15"/>
      <c r="P10" s="8"/>
      <c r="Q10" s="65"/>
      <c r="R10" s="66"/>
      <c r="S10" s="66"/>
      <c r="U10" s="20"/>
    </row>
    <row r="11" spans="2:21" x14ac:dyDescent="0.25">
      <c r="B11" s="55"/>
      <c r="C11" s="55"/>
      <c r="D11" s="55"/>
      <c r="E11" s="55"/>
      <c r="F11" s="55"/>
      <c r="G11" s="55"/>
      <c r="H11" s="84"/>
      <c r="I11" s="55"/>
      <c r="J11" s="92"/>
      <c r="K11" s="13">
        <f t="shared" si="0"/>
        <v>0</v>
      </c>
      <c r="L11" s="13"/>
      <c r="M11" s="13"/>
      <c r="N11" s="13"/>
      <c r="O11" s="15"/>
      <c r="P11" s="8"/>
      <c r="Q11" s="46"/>
      <c r="R11" s="36"/>
      <c r="S11" s="36"/>
      <c r="U11" s="24"/>
    </row>
    <row r="12" spans="2:21" x14ac:dyDescent="0.25">
      <c r="B12" s="55"/>
      <c r="C12" s="8"/>
      <c r="D12" s="7"/>
      <c r="E12" s="61"/>
      <c r="F12" s="8"/>
      <c r="G12" s="9"/>
      <c r="H12" s="47"/>
      <c r="I12" s="10"/>
      <c r="J12" s="92"/>
      <c r="K12" s="13">
        <f t="shared" si="0"/>
        <v>0</v>
      </c>
      <c r="L12" s="13"/>
      <c r="M12" s="13"/>
      <c r="N12" s="13"/>
      <c r="O12" s="15"/>
      <c r="P12" s="8"/>
      <c r="Q12" s="46"/>
      <c r="R12" s="36"/>
      <c r="S12" s="36"/>
      <c r="U12" s="23"/>
    </row>
    <row r="13" spans="2:21" x14ac:dyDescent="0.25">
      <c r="B13" s="55"/>
      <c r="C13" s="8"/>
      <c r="D13" s="7"/>
      <c r="E13" s="61"/>
      <c r="F13" s="8"/>
      <c r="G13" s="9"/>
      <c r="H13" s="47"/>
      <c r="I13" s="10"/>
      <c r="J13" s="92"/>
      <c r="K13" s="13">
        <f t="shared" si="0"/>
        <v>0</v>
      </c>
      <c r="L13" s="13"/>
      <c r="M13" s="13"/>
      <c r="N13" s="13"/>
      <c r="O13" s="15"/>
      <c r="P13" s="8"/>
      <c r="Q13" s="46"/>
      <c r="R13" s="36"/>
      <c r="S13" s="36"/>
      <c r="U13" s="20"/>
    </row>
    <row r="14" spans="2:21" x14ac:dyDescent="0.25">
      <c r="B14" s="55"/>
      <c r="C14" s="8"/>
      <c r="D14" s="7"/>
      <c r="E14" s="61"/>
      <c r="F14" s="8"/>
      <c r="G14" s="9"/>
      <c r="H14" s="47"/>
      <c r="I14" s="10"/>
      <c r="J14" s="92"/>
      <c r="K14" s="13">
        <f t="shared" si="0"/>
        <v>0</v>
      </c>
      <c r="L14" s="13"/>
      <c r="M14" s="13"/>
      <c r="N14" s="13"/>
      <c r="O14" s="15"/>
      <c r="P14" s="8"/>
      <c r="Q14" s="46"/>
      <c r="R14" s="36"/>
      <c r="S14" s="36"/>
      <c r="U14" s="20"/>
    </row>
    <row r="15" spans="2:21" x14ac:dyDescent="0.25">
      <c r="B15" s="55"/>
      <c r="C15" s="8"/>
      <c r="D15" s="7"/>
      <c r="E15" s="61"/>
      <c r="F15" s="8"/>
      <c r="G15" s="9"/>
      <c r="H15" s="47"/>
      <c r="I15" s="10"/>
      <c r="J15" s="92"/>
      <c r="K15" s="13">
        <f t="shared" si="0"/>
        <v>0</v>
      </c>
      <c r="L15" s="13"/>
      <c r="M15" s="13"/>
      <c r="N15" s="13"/>
      <c r="O15" s="15"/>
      <c r="P15" s="8"/>
      <c r="Q15" s="46"/>
      <c r="R15" s="36"/>
      <c r="S15" s="36"/>
      <c r="U15" s="40"/>
    </row>
    <row r="16" spans="2:21" x14ac:dyDescent="0.25">
      <c r="B16" s="55"/>
      <c r="C16" s="8"/>
      <c r="D16" s="7"/>
      <c r="E16" s="61"/>
      <c r="F16" s="8"/>
      <c r="G16" s="9"/>
      <c r="H16" s="47"/>
      <c r="I16" s="10"/>
      <c r="J16" s="92"/>
      <c r="K16" s="13">
        <f t="shared" si="0"/>
        <v>0</v>
      </c>
      <c r="L16" s="13"/>
      <c r="M16" s="13"/>
      <c r="N16" s="13"/>
      <c r="O16" s="15"/>
      <c r="P16" s="8"/>
      <c r="Q16" s="46"/>
      <c r="R16" s="36"/>
      <c r="S16" s="36"/>
      <c r="U16" s="23"/>
    </row>
    <row r="17" spans="2:19" x14ac:dyDescent="0.25">
      <c r="B17" s="55"/>
      <c r="C17" s="8"/>
      <c r="D17" s="7"/>
      <c r="E17" s="61"/>
      <c r="F17" s="8"/>
      <c r="G17" s="61"/>
      <c r="H17" s="47"/>
      <c r="I17" s="10"/>
      <c r="J17" s="92"/>
      <c r="K17" s="13">
        <f t="shared" si="0"/>
        <v>0</v>
      </c>
      <c r="L17" s="13"/>
      <c r="M17" s="13"/>
      <c r="N17" s="13"/>
      <c r="O17" s="15"/>
      <c r="P17" s="8"/>
      <c r="Q17" s="46"/>
      <c r="R17" s="36"/>
      <c r="S17" s="36"/>
    </row>
    <row r="18" spans="2:19" x14ac:dyDescent="0.25">
      <c r="B18" s="55"/>
      <c r="C18" s="8"/>
      <c r="D18" s="7"/>
      <c r="E18" s="61"/>
      <c r="F18" s="8"/>
      <c r="G18" s="61"/>
      <c r="H18" s="47"/>
      <c r="I18" s="10"/>
      <c r="J18" s="92"/>
      <c r="K18" s="13">
        <f t="shared" si="0"/>
        <v>0</v>
      </c>
      <c r="L18" s="13"/>
      <c r="M18" s="13"/>
      <c r="N18" s="13"/>
      <c r="O18" s="15"/>
      <c r="P18" s="8"/>
      <c r="Q18" s="46"/>
      <c r="R18" s="36"/>
      <c r="S18" s="36"/>
    </row>
    <row r="19" spans="2:19" x14ac:dyDescent="0.25">
      <c r="B19" s="55"/>
      <c r="C19" s="8"/>
      <c r="D19" s="7"/>
      <c r="E19" s="61"/>
      <c r="F19" s="8"/>
      <c r="G19" s="9"/>
      <c r="H19" s="47"/>
      <c r="I19" s="10"/>
      <c r="J19" s="92"/>
      <c r="K19" s="13">
        <f t="shared" si="0"/>
        <v>0</v>
      </c>
      <c r="L19" s="13"/>
      <c r="M19" s="13"/>
      <c r="N19" s="13"/>
      <c r="O19" s="15"/>
      <c r="P19" s="8"/>
      <c r="Q19" s="46"/>
      <c r="R19" s="36"/>
      <c r="S19" s="36"/>
    </row>
    <row r="20" spans="2:19" x14ac:dyDescent="0.25">
      <c r="B20" s="55"/>
      <c r="C20" s="8"/>
      <c r="D20" s="7"/>
      <c r="E20" s="61"/>
      <c r="F20" s="8"/>
      <c r="G20" s="9"/>
      <c r="H20" s="47"/>
      <c r="I20" s="10"/>
      <c r="J20" s="92"/>
      <c r="K20" s="13">
        <f t="shared" si="0"/>
        <v>0</v>
      </c>
      <c r="L20" s="13"/>
      <c r="M20" s="13"/>
      <c r="N20" s="13"/>
      <c r="O20" s="15"/>
      <c r="P20" s="8"/>
      <c r="Q20" s="46"/>
      <c r="R20" s="36"/>
      <c r="S20" s="36"/>
    </row>
    <row r="21" spans="2:19" x14ac:dyDescent="0.25">
      <c r="B21" s="55"/>
      <c r="C21" s="8"/>
      <c r="D21" s="7"/>
      <c r="E21" s="61"/>
      <c r="F21" s="8"/>
      <c r="G21" s="9"/>
      <c r="H21" s="47"/>
      <c r="I21" s="10"/>
      <c r="J21" s="92"/>
      <c r="K21" s="13">
        <f t="shared" si="0"/>
        <v>0</v>
      </c>
      <c r="L21" s="13"/>
      <c r="M21" s="13"/>
      <c r="N21" s="13"/>
      <c r="O21" s="15">
        <f>L21-K21-N21</f>
        <v>0</v>
      </c>
      <c r="P21" s="8"/>
      <c r="Q21" s="46"/>
      <c r="R21" s="36"/>
      <c r="S21" s="36"/>
    </row>
    <row r="22" spans="2:19" x14ac:dyDescent="0.25">
      <c r="B22" s="55"/>
      <c r="C22" s="8"/>
      <c r="D22" s="7"/>
      <c r="E22" s="61"/>
      <c r="F22" s="8"/>
      <c r="G22" s="9"/>
      <c r="H22" s="47"/>
      <c r="I22" s="10"/>
      <c r="J22" s="92"/>
      <c r="K22" s="13">
        <f t="shared" si="0"/>
        <v>0</v>
      </c>
      <c r="L22" s="13"/>
      <c r="M22" s="13"/>
      <c r="N22" s="13"/>
      <c r="O22" s="15">
        <f>L22-K22-N22</f>
        <v>0</v>
      </c>
      <c r="P22" s="8"/>
      <c r="Q22" s="46"/>
      <c r="R22" s="36"/>
      <c r="S22" s="36"/>
    </row>
    <row r="23" spans="2:19" x14ac:dyDescent="0.25">
      <c r="B23" s="55"/>
      <c r="C23" s="8"/>
      <c r="D23" s="7"/>
      <c r="E23" s="61"/>
      <c r="F23" s="8"/>
      <c r="G23" s="9"/>
      <c r="H23" s="57"/>
      <c r="I23" s="10"/>
      <c r="J23" s="92"/>
      <c r="K23" s="13">
        <f t="shared" si="0"/>
        <v>0</v>
      </c>
      <c r="L23" s="13"/>
      <c r="M23" s="13"/>
      <c r="N23" s="13"/>
      <c r="O23" s="15">
        <f>L23-K23-N23</f>
        <v>0</v>
      </c>
      <c r="P23" s="8"/>
      <c r="Q23" s="46"/>
      <c r="R23" s="36"/>
      <c r="S23" s="36"/>
    </row>
    <row r="24" spans="2:19" x14ac:dyDescent="0.25">
      <c r="B24" s="55"/>
      <c r="C24" s="8"/>
      <c r="D24" s="8"/>
      <c r="E24" s="61"/>
      <c r="F24" s="8"/>
      <c r="G24" s="8"/>
      <c r="H24" s="47"/>
      <c r="I24" s="10"/>
      <c r="J24" s="92"/>
      <c r="K24" s="13">
        <f t="shared" si="0"/>
        <v>0</v>
      </c>
      <c r="L24" s="36"/>
      <c r="M24" s="67"/>
      <c r="N24" s="67">
        <f>SUM(L4:L23)</f>
        <v>0</v>
      </c>
      <c r="O24" s="36"/>
      <c r="P24" s="36"/>
      <c r="Q24" s="67">
        <f>SUM(O4:O23)</f>
        <v>0</v>
      </c>
      <c r="R24" s="36"/>
      <c r="S24" s="36"/>
    </row>
    <row r="25" spans="2:19" x14ac:dyDescent="0.25">
      <c r="B25" s="55"/>
      <c r="C25" s="8"/>
      <c r="D25" s="8"/>
      <c r="E25" s="61"/>
      <c r="F25" s="8"/>
      <c r="G25" s="61"/>
      <c r="H25" s="47"/>
      <c r="I25" s="10"/>
      <c r="J25" s="92"/>
      <c r="K25" s="13">
        <f t="shared" si="0"/>
        <v>0</v>
      </c>
      <c r="L25" s="36"/>
      <c r="M25" s="36"/>
      <c r="N25" s="36"/>
      <c r="O25" s="36"/>
      <c r="P25" s="36"/>
      <c r="Q25" s="36"/>
      <c r="R25" s="36"/>
      <c r="S25" s="36"/>
    </row>
    <row r="26" spans="2:19" x14ac:dyDescent="0.25">
      <c r="B26" s="55"/>
      <c r="C26" s="8"/>
      <c r="D26" s="8"/>
      <c r="E26" s="61"/>
      <c r="F26" s="8"/>
      <c r="G26" s="61"/>
      <c r="H26" s="47"/>
      <c r="I26" s="10"/>
      <c r="J26" s="92"/>
      <c r="K26" s="13">
        <f t="shared" si="0"/>
        <v>0</v>
      </c>
      <c r="L26" s="36"/>
      <c r="M26" s="36"/>
      <c r="N26" s="36"/>
      <c r="O26" s="36"/>
      <c r="P26" s="36"/>
      <c r="Q26" s="36"/>
      <c r="R26" s="36"/>
      <c r="S26" s="36"/>
    </row>
    <row r="27" ht="29.25" customHeight="1" spans="2:19" x14ac:dyDescent="0.25">
      <c r="B27" s="55"/>
      <c r="C27" s="8"/>
      <c r="D27" s="8"/>
      <c r="E27" s="61"/>
      <c r="F27" s="8"/>
      <c r="G27" s="8"/>
      <c r="H27" s="47"/>
      <c r="I27" s="10"/>
      <c r="J27" s="92"/>
      <c r="K27" s="13">
        <f t="shared" si="0"/>
        <v>0</v>
      </c>
      <c r="L27" s="36"/>
      <c r="M27" s="36"/>
      <c r="N27" s="36"/>
      <c r="O27" s="36"/>
      <c r="P27" s="36"/>
      <c r="Q27" s="36"/>
      <c r="R27" s="36"/>
      <c r="S27" s="36"/>
    </row>
    <row r="28" spans="2:19" x14ac:dyDescent="0.25">
      <c r="B28" s="55"/>
      <c r="C28" s="8"/>
      <c r="D28" s="8"/>
      <c r="E28" s="61"/>
      <c r="F28" s="8"/>
      <c r="G28" s="8"/>
      <c r="H28" s="47"/>
      <c r="I28" s="10"/>
      <c r="J28" s="92"/>
      <c r="K28" s="13">
        <f t="shared" si="0"/>
        <v>0</v>
      </c>
      <c r="L28" s="36"/>
      <c r="M28" s="36"/>
      <c r="N28" s="36"/>
      <c r="O28" s="36"/>
      <c r="P28" s="36"/>
      <c r="Q28" s="36"/>
      <c r="R28" s="36"/>
      <c r="S28" s="36"/>
    </row>
    <row r="29" spans="2:19" x14ac:dyDescent="0.25">
      <c r="B29" s="55"/>
      <c r="C29" s="8"/>
      <c r="D29" s="8"/>
      <c r="E29" s="61"/>
      <c r="F29" s="8"/>
      <c r="G29" s="61"/>
      <c r="H29" s="47"/>
      <c r="I29" s="10"/>
      <c r="J29" s="92"/>
      <c r="K29" s="13">
        <f t="shared" si="0"/>
        <v>0</v>
      </c>
      <c r="L29" s="36"/>
      <c r="M29" s="36"/>
      <c r="N29" s="36"/>
      <c r="O29" s="36"/>
      <c r="P29" s="36"/>
      <c r="Q29" s="36"/>
      <c r="R29" s="36"/>
      <c r="S29" s="36"/>
    </row>
    <row r="30" spans="2:19" x14ac:dyDescent="0.25">
      <c r="B30" s="55"/>
      <c r="C30" s="8"/>
      <c r="D30" s="8"/>
      <c r="E30" s="61"/>
      <c r="F30" s="8"/>
      <c r="G30" s="61"/>
      <c r="H30" s="47"/>
      <c r="I30" s="10"/>
      <c r="J30" s="92"/>
      <c r="K30" s="13">
        <f t="shared" si="0"/>
        <v>0</v>
      </c>
      <c r="L30" s="36"/>
      <c r="M30" s="36"/>
      <c r="N30" s="36"/>
      <c r="O30" s="36"/>
      <c r="P30" s="36"/>
      <c r="Q30" s="36"/>
      <c r="R30" s="36"/>
      <c r="S30" s="36"/>
    </row>
    <row r="31" ht="30.75" customHeight="1" spans="2:19" x14ac:dyDescent="0.25">
      <c r="B31" s="55"/>
      <c r="C31" s="8"/>
      <c r="D31" s="8"/>
      <c r="E31" s="61"/>
      <c r="F31" s="8"/>
      <c r="G31" s="8"/>
      <c r="H31" s="47"/>
      <c r="I31" s="10"/>
      <c r="J31" s="92"/>
      <c r="K31" s="13">
        <f t="shared" si="0"/>
        <v>0</v>
      </c>
      <c r="L31" s="36"/>
      <c r="M31" s="36"/>
      <c r="N31" s="36"/>
      <c r="O31" s="36"/>
      <c r="P31" s="36"/>
      <c r="Q31" s="36"/>
      <c r="R31" s="36"/>
      <c r="S31" s="36"/>
    </row>
    <row r="32" spans="2:19" x14ac:dyDescent="0.25">
      <c r="B32" s="55"/>
      <c r="C32" s="8"/>
      <c r="D32" s="8"/>
      <c r="E32" s="61"/>
      <c r="F32" s="8"/>
      <c r="G32" s="8"/>
      <c r="H32" s="47"/>
      <c r="I32" s="10"/>
      <c r="J32" s="92"/>
      <c r="K32" s="13">
        <f t="shared" si="0"/>
        <v>0</v>
      </c>
      <c r="L32" s="36"/>
      <c r="M32" s="36"/>
      <c r="N32" s="36"/>
      <c r="O32" s="36"/>
      <c r="P32" s="36"/>
      <c r="Q32" s="36"/>
      <c r="R32" s="36"/>
      <c r="S32" s="36"/>
    </row>
    <row r="33" spans="2:19" x14ac:dyDescent="0.25">
      <c r="B33" s="55"/>
      <c r="C33" s="8"/>
      <c r="D33" s="8"/>
      <c r="E33" s="61"/>
      <c r="F33" s="8"/>
      <c r="G33" s="61"/>
      <c r="H33" s="47"/>
      <c r="I33" s="10"/>
      <c r="J33" s="92"/>
      <c r="K33" s="13">
        <f t="shared" si="0"/>
        <v>0</v>
      </c>
      <c r="L33" s="36"/>
      <c r="M33" s="36"/>
      <c r="N33" s="36"/>
      <c r="O33" s="36"/>
      <c r="P33" s="36"/>
      <c r="Q33" s="36"/>
      <c r="R33" s="36"/>
      <c r="S33" s="36"/>
    </row>
    <row r="34" spans="2:19" x14ac:dyDescent="0.25">
      <c r="B34" s="55"/>
      <c r="C34" s="8"/>
      <c r="D34" s="8"/>
      <c r="E34" s="61"/>
      <c r="F34" s="8"/>
      <c r="G34" s="8"/>
      <c r="H34" s="47"/>
      <c r="I34" s="10"/>
      <c r="J34" s="92"/>
      <c r="K34" s="13">
        <f t="shared" si="0"/>
        <v>0</v>
      </c>
      <c r="L34" s="36"/>
      <c r="M34" s="36"/>
      <c r="N34" s="36"/>
      <c r="O34" s="36"/>
      <c r="P34" s="36"/>
      <c r="Q34" s="36"/>
      <c r="R34" s="36"/>
      <c r="S34" s="36"/>
    </row>
    <row r="35" spans="2:19" x14ac:dyDescent="0.25">
      <c r="B35" s="55"/>
      <c r="C35" s="8"/>
      <c r="D35" s="8"/>
      <c r="E35" s="61"/>
      <c r="F35" s="8"/>
      <c r="G35" s="8"/>
      <c r="H35" s="47"/>
      <c r="I35" s="10"/>
      <c r="J35" s="92"/>
      <c r="K35" s="13">
        <f t="shared" si="0"/>
        <v>0</v>
      </c>
      <c r="L35" s="36"/>
      <c r="M35" s="36"/>
      <c r="N35" s="36"/>
      <c r="O35" s="36"/>
      <c r="P35" s="36"/>
      <c r="Q35" s="36"/>
      <c r="R35" s="36"/>
      <c r="S35" s="36"/>
    </row>
    <row r="36" spans="2:19" x14ac:dyDescent="0.25">
      <c r="B36" s="55"/>
      <c r="C36" s="8"/>
      <c r="D36" s="8"/>
      <c r="E36" s="61"/>
      <c r="F36" s="8"/>
      <c r="G36" s="61"/>
      <c r="H36" s="47"/>
      <c r="I36" s="10"/>
      <c r="J36" s="92"/>
      <c r="K36" s="13">
        <f t="shared" si="0"/>
        <v>0</v>
      </c>
      <c r="L36" s="36"/>
      <c r="M36" s="36"/>
      <c r="N36" s="36"/>
      <c r="O36" s="36"/>
      <c r="P36" s="36"/>
      <c r="Q36" s="36"/>
      <c r="R36" s="36"/>
      <c r="S36" s="36"/>
    </row>
    <row r="37" spans="2:19" x14ac:dyDescent="0.25">
      <c r="B37" s="55"/>
      <c r="C37" s="8"/>
      <c r="D37" s="8"/>
      <c r="E37" s="61"/>
      <c r="F37" s="8"/>
      <c r="G37" s="8"/>
      <c r="H37" s="47"/>
      <c r="I37" s="10"/>
      <c r="J37" s="92"/>
      <c r="K37" s="13">
        <f t="shared" si="0"/>
        <v>0</v>
      </c>
      <c r="L37" s="36"/>
      <c r="M37" s="36"/>
      <c r="N37" s="36"/>
      <c r="O37" s="36"/>
      <c r="P37" s="36"/>
      <c r="Q37" s="36"/>
      <c r="R37" s="36"/>
      <c r="S37" s="36"/>
    </row>
    <row r="38" spans="2:19" x14ac:dyDescent="0.25">
      <c r="B38" s="55"/>
      <c r="C38" s="8"/>
      <c r="D38" s="8"/>
      <c r="E38" s="61"/>
      <c r="F38" s="8"/>
      <c r="G38" s="8"/>
      <c r="H38" s="47"/>
      <c r="I38" s="10"/>
      <c r="J38" s="92"/>
      <c r="K38" s="13">
        <f t="shared" si="0"/>
        <v>0</v>
      </c>
      <c r="L38" s="36"/>
      <c r="M38" s="36"/>
      <c r="N38" s="36"/>
      <c r="O38" s="36"/>
      <c r="P38" s="36"/>
      <c r="Q38" s="36"/>
      <c r="R38" s="36"/>
      <c r="S38" s="36"/>
    </row>
    <row r="39" spans="2:19" x14ac:dyDescent="0.25">
      <c r="B39" s="55"/>
      <c r="C39" s="8"/>
      <c r="D39" s="8"/>
      <c r="E39" s="61"/>
      <c r="F39" s="8"/>
      <c r="G39" s="61"/>
      <c r="H39" s="47"/>
      <c r="I39" s="10"/>
      <c r="J39" s="92"/>
      <c r="K39" s="13">
        <f t="shared" si="0"/>
        <v>0</v>
      </c>
      <c r="L39" s="36"/>
      <c r="M39" s="36"/>
      <c r="N39" s="36"/>
      <c r="O39" s="36"/>
      <c r="P39" s="36"/>
      <c r="Q39" s="36"/>
      <c r="R39" s="36"/>
      <c r="S39" s="36"/>
    </row>
    <row r="40" spans="2:19" x14ac:dyDescent="0.25">
      <c r="B40" s="55"/>
      <c r="C40" s="8"/>
      <c r="D40" s="8"/>
      <c r="E40" s="61"/>
      <c r="F40" s="8"/>
      <c r="G40" s="8"/>
      <c r="H40" s="47"/>
      <c r="I40" s="10"/>
      <c r="J40" s="92"/>
      <c r="K40" s="13">
        <f t="shared" si="0"/>
        <v>0</v>
      </c>
      <c r="L40" s="36"/>
      <c r="M40" s="36"/>
      <c r="N40" s="36"/>
      <c r="O40" s="36"/>
      <c r="P40" s="36"/>
      <c r="Q40" s="36"/>
      <c r="R40" s="36"/>
      <c r="S40" s="36"/>
    </row>
    <row r="41" spans="2:19" x14ac:dyDescent="0.25">
      <c r="B41" s="55"/>
      <c r="C41" s="8"/>
      <c r="D41" s="8"/>
      <c r="E41" s="61"/>
      <c r="F41" s="8"/>
      <c r="G41" s="8"/>
      <c r="H41" s="47"/>
      <c r="I41" s="10"/>
      <c r="J41" s="92"/>
      <c r="K41" s="13">
        <f t="shared" si="0"/>
        <v>0</v>
      </c>
      <c r="L41" s="36"/>
      <c r="M41" s="36"/>
      <c r="N41" s="36"/>
      <c r="O41" s="36"/>
      <c r="P41" s="36"/>
      <c r="Q41" s="36"/>
      <c r="R41" s="36"/>
      <c r="S41" s="36"/>
    </row>
    <row r="42" spans="2:19" x14ac:dyDescent="0.25">
      <c r="B42" s="55"/>
      <c r="C42" s="8"/>
      <c r="D42" s="8"/>
      <c r="E42" s="61"/>
      <c r="F42" s="8"/>
      <c r="G42" s="61"/>
      <c r="H42" s="47"/>
      <c r="I42" s="10"/>
      <c r="J42" s="92"/>
      <c r="K42" s="13">
        <f t="shared" si="0"/>
        <v>0</v>
      </c>
      <c r="L42" s="36"/>
      <c r="M42" s="36"/>
      <c r="N42" s="36"/>
      <c r="O42" s="36"/>
      <c r="P42" s="36"/>
      <c r="Q42" s="36"/>
      <c r="R42" s="36"/>
      <c r="S42" s="36"/>
    </row>
    <row r="43" spans="2:19" x14ac:dyDescent="0.25">
      <c r="B43" s="55"/>
      <c r="C43" s="8"/>
      <c r="D43" s="8"/>
      <c r="E43" s="61"/>
      <c r="F43" s="8"/>
      <c r="G43" s="8"/>
      <c r="H43" s="47"/>
      <c r="I43" s="10"/>
      <c r="J43" s="92"/>
      <c r="K43" s="13">
        <f t="shared" si="0"/>
        <v>0</v>
      </c>
      <c r="L43" s="36"/>
      <c r="M43" s="36"/>
      <c r="N43" s="36"/>
      <c r="O43" s="36"/>
      <c r="P43" s="36"/>
      <c r="Q43" s="36"/>
      <c r="R43" s="36"/>
      <c r="S43" s="36"/>
    </row>
    <row r="44" spans="2:19" x14ac:dyDescent="0.25">
      <c r="B44" s="55"/>
      <c r="C44" s="8"/>
      <c r="D44" s="8"/>
      <c r="E44" s="61"/>
      <c r="F44" s="8"/>
      <c r="G44" s="8"/>
      <c r="H44" s="47"/>
      <c r="I44" s="10"/>
      <c r="J44" s="92"/>
      <c r="K44" s="13">
        <f t="shared" si="0"/>
        <v>0</v>
      </c>
      <c r="L44" s="36"/>
      <c r="M44" s="36"/>
      <c r="N44" s="36"/>
      <c r="O44" s="36"/>
      <c r="P44" s="36"/>
      <c r="Q44" s="36"/>
      <c r="R44" s="36"/>
      <c r="S44" s="36"/>
    </row>
    <row r="45" spans="2:19" x14ac:dyDescent="0.25">
      <c r="B45" s="55"/>
      <c r="C45" s="8"/>
      <c r="D45" s="8"/>
      <c r="E45" s="61"/>
      <c r="F45" s="8"/>
      <c r="G45" s="61"/>
      <c r="H45" s="47"/>
      <c r="I45" s="10"/>
      <c r="J45" s="92"/>
      <c r="K45" s="13">
        <f t="shared" si="0"/>
        <v>0</v>
      </c>
      <c r="L45" s="36"/>
      <c r="M45" s="36"/>
      <c r="N45" s="36"/>
      <c r="O45" s="36"/>
      <c r="P45" s="36"/>
      <c r="Q45" s="36"/>
      <c r="R45" s="36"/>
      <c r="S45" s="36"/>
    </row>
    <row r="46" spans="2:19" x14ac:dyDescent="0.25">
      <c r="B46" s="55"/>
      <c r="C46" s="8"/>
      <c r="D46" s="8"/>
      <c r="E46" s="61"/>
      <c r="F46" s="8"/>
      <c r="G46" s="8"/>
      <c r="H46" s="47"/>
      <c r="I46" s="10"/>
      <c r="J46" s="92"/>
      <c r="K46" s="13">
        <f t="shared" si="0"/>
        <v>0</v>
      </c>
      <c r="L46" s="36"/>
      <c r="M46" s="36"/>
      <c r="N46" s="36"/>
      <c r="O46" s="36"/>
      <c r="P46" s="36"/>
      <c r="Q46" s="36"/>
      <c r="R46" s="36"/>
      <c r="S46" s="36"/>
    </row>
    <row r="47" spans="2:19" x14ac:dyDescent="0.25">
      <c r="B47" s="55"/>
      <c r="C47" s="8"/>
      <c r="D47" s="8"/>
      <c r="E47" s="61"/>
      <c r="F47" s="8"/>
      <c r="G47" s="8"/>
      <c r="H47" s="47"/>
      <c r="I47" s="10"/>
      <c r="J47" s="92"/>
      <c r="K47" s="13">
        <f t="shared" si="0"/>
        <v>0</v>
      </c>
      <c r="L47" s="36"/>
      <c r="M47" s="36"/>
      <c r="N47" s="36"/>
      <c r="O47" s="36"/>
      <c r="P47" s="36"/>
      <c r="Q47" s="36"/>
      <c r="R47" s="36"/>
      <c r="S47" s="36"/>
    </row>
    <row r="48" spans="2:19" x14ac:dyDescent="0.25">
      <c r="B48" s="55"/>
      <c r="C48" s="8"/>
      <c r="D48" s="8"/>
      <c r="E48" s="61"/>
      <c r="F48" s="8"/>
      <c r="G48" s="8"/>
      <c r="H48" s="47"/>
      <c r="I48" s="10"/>
      <c r="J48" s="92"/>
      <c r="K48" s="13">
        <f t="shared" si="0"/>
        <v>0</v>
      </c>
      <c r="L48" s="36"/>
      <c r="M48" s="36"/>
      <c r="N48" s="36"/>
      <c r="O48" s="36"/>
      <c r="P48" s="36"/>
      <c r="Q48" s="36"/>
      <c r="R48" s="36"/>
      <c r="S48" s="36"/>
    </row>
    <row r="49" spans="2:19" x14ac:dyDescent="0.25">
      <c r="B49" s="55"/>
      <c r="C49" s="8"/>
      <c r="D49" s="8"/>
      <c r="E49" s="61"/>
      <c r="F49" s="8"/>
      <c r="G49" s="8"/>
      <c r="H49" s="47"/>
      <c r="I49" s="10"/>
      <c r="J49" s="92"/>
      <c r="K49" s="13">
        <f t="shared" si="0"/>
        <v>0</v>
      </c>
      <c r="L49" s="36"/>
      <c r="M49" s="36"/>
      <c r="N49" s="36"/>
      <c r="O49" s="36"/>
      <c r="P49" s="36"/>
      <c r="Q49" s="36"/>
      <c r="R49" s="36"/>
      <c r="S49" s="36"/>
    </row>
    <row r="50" spans="2:19" x14ac:dyDescent="0.25">
      <c r="B50" s="55"/>
      <c r="C50" s="8"/>
      <c r="D50" s="8"/>
      <c r="E50" s="61"/>
      <c r="F50" s="8"/>
      <c r="G50" s="61"/>
      <c r="H50" s="47"/>
      <c r="I50" s="10"/>
      <c r="J50" s="92"/>
      <c r="K50" s="13">
        <f t="shared" si="0"/>
        <v>0</v>
      </c>
      <c r="L50" s="36"/>
      <c r="M50" s="36"/>
      <c r="N50" s="36"/>
      <c r="O50" s="36"/>
      <c r="P50" s="36"/>
      <c r="Q50" s="36"/>
      <c r="R50" s="36"/>
      <c r="S50" s="36"/>
    </row>
    <row r="51" spans="2:19" x14ac:dyDescent="0.25">
      <c r="B51" s="55"/>
      <c r="C51" s="8"/>
      <c r="D51" s="8"/>
      <c r="E51" s="61"/>
      <c r="F51" s="8"/>
      <c r="G51" s="8"/>
      <c r="H51" s="47"/>
      <c r="I51" s="10"/>
      <c r="J51" s="92"/>
      <c r="K51" s="13">
        <f t="shared" si="0"/>
        <v>0</v>
      </c>
      <c r="L51" s="36"/>
      <c r="M51" s="36"/>
      <c r="N51" s="36"/>
      <c r="O51" s="36"/>
      <c r="P51" s="36"/>
      <c r="Q51" s="36"/>
      <c r="R51" s="36"/>
      <c r="S51" s="36"/>
    </row>
    <row r="52" spans="2:19" x14ac:dyDescent="0.25">
      <c r="B52" s="55"/>
      <c r="C52" s="8"/>
      <c r="D52" s="8"/>
      <c r="E52" s="61"/>
      <c r="F52" s="8"/>
      <c r="G52" s="8"/>
      <c r="H52" s="47"/>
      <c r="I52" s="10"/>
      <c r="J52" s="92"/>
      <c r="K52" s="13">
        <f t="shared" si="0"/>
        <v>0</v>
      </c>
      <c r="L52" s="36"/>
      <c r="M52" s="36"/>
      <c r="N52" s="36"/>
      <c r="O52" s="36"/>
      <c r="P52" s="36"/>
      <c r="Q52" s="36"/>
      <c r="R52" s="36"/>
      <c r="S52" s="36"/>
    </row>
    <row r="53" spans="2:19" x14ac:dyDescent="0.25">
      <c r="B53" s="86"/>
      <c r="C53" s="8"/>
      <c r="D53" s="83"/>
      <c r="E53" s="72"/>
      <c r="F53" s="55"/>
      <c r="G53" s="57"/>
      <c r="H53" s="84"/>
      <c r="I53" s="52"/>
      <c r="J53" s="92"/>
      <c r="K53" s="13">
        <f t="shared" si="0"/>
        <v>0</v>
      </c>
      <c r="L53" s="36"/>
      <c r="M53" s="36"/>
      <c r="N53" s="36"/>
      <c r="O53" s="36"/>
      <c r="P53" s="36"/>
      <c r="Q53" s="36"/>
      <c r="R53" s="36"/>
      <c r="S53" s="36"/>
    </row>
    <row r="54" spans="2:19" x14ac:dyDescent="0.25">
      <c r="B54" s="55"/>
      <c r="C54" s="8"/>
      <c r="D54" s="8"/>
      <c r="E54" s="87"/>
      <c r="F54" s="8"/>
      <c r="G54" s="8"/>
      <c r="H54" s="8"/>
      <c r="I54" s="8"/>
      <c r="J54" s="92"/>
      <c r="K54" s="13">
        <f t="shared" si="0"/>
        <v>0</v>
      </c>
      <c r="L54" s="36"/>
      <c r="M54" s="36"/>
      <c r="N54" s="36"/>
      <c r="O54" s="36"/>
      <c r="P54" s="36"/>
      <c r="Q54" s="36"/>
      <c r="R54" s="36"/>
      <c r="S54" s="36"/>
    </row>
    <row r="55" spans="2:19" x14ac:dyDescent="0.25">
      <c r="B55" s="55"/>
      <c r="C55" s="8"/>
      <c r="D55" s="8"/>
      <c r="E55" s="87"/>
      <c r="F55" s="8"/>
      <c r="G55" s="8"/>
      <c r="H55" s="8"/>
      <c r="I55" s="8"/>
      <c r="J55" s="92"/>
      <c r="K55" s="13">
        <f t="shared" si="0"/>
        <v>0</v>
      </c>
      <c r="L55" s="36"/>
      <c r="M55" s="36"/>
      <c r="N55" s="36"/>
      <c r="O55" s="36"/>
      <c r="P55" s="36"/>
      <c r="Q55" s="36"/>
      <c r="R55" s="36"/>
      <c r="S55" s="36"/>
    </row>
    <row r="56" spans="2:19" x14ac:dyDescent="0.25">
      <c r="B56" s="55"/>
      <c r="C56" s="8"/>
      <c r="D56" s="8"/>
      <c r="E56" s="87"/>
      <c r="F56" s="8"/>
      <c r="G56" s="61"/>
      <c r="H56" s="10"/>
      <c r="I56" s="58"/>
      <c r="J56" s="92"/>
      <c r="K56" s="13">
        <f t="shared" si="0"/>
        <v>0</v>
      </c>
      <c r="L56" s="36"/>
      <c r="M56" s="36"/>
      <c r="N56" s="36"/>
      <c r="O56" s="36"/>
      <c r="P56" s="36"/>
      <c r="Q56" s="36"/>
      <c r="R56" s="36"/>
      <c r="S56" s="36"/>
    </row>
    <row r="57" spans="2:19" x14ac:dyDescent="0.25">
      <c r="B57" s="55"/>
      <c r="C57" s="8"/>
      <c r="D57" s="8"/>
      <c r="E57" s="87"/>
      <c r="F57" s="8"/>
      <c r="G57" s="8"/>
      <c r="H57" s="8"/>
      <c r="I57" s="8"/>
      <c r="J57" s="92"/>
      <c r="K57" s="13">
        <f t="shared" si="0"/>
        <v>0</v>
      </c>
      <c r="L57" s="36"/>
      <c r="M57" s="36"/>
      <c r="N57" s="36"/>
      <c r="O57" s="36"/>
      <c r="P57" s="36"/>
      <c r="Q57" s="36"/>
      <c r="R57" s="36"/>
      <c r="S57" s="36"/>
    </row>
    <row r="58" spans="2:19" x14ac:dyDescent="0.25">
      <c r="B58" s="55"/>
      <c r="C58" s="8"/>
      <c r="D58" s="8"/>
      <c r="E58" s="87"/>
      <c r="F58" s="8"/>
      <c r="G58" s="8"/>
      <c r="H58" s="8"/>
      <c r="I58" s="8"/>
      <c r="J58" s="92"/>
      <c r="K58" s="13">
        <f t="shared" si="0"/>
        <v>0</v>
      </c>
      <c r="L58" s="36"/>
      <c r="M58" s="36"/>
      <c r="N58" s="36"/>
      <c r="O58" s="36"/>
      <c r="P58" s="36"/>
      <c r="Q58" s="36"/>
      <c r="R58" s="36"/>
      <c r="S58" s="36"/>
    </row>
    <row r="59" spans="2:19" x14ac:dyDescent="0.25">
      <c r="B59" s="55"/>
      <c r="C59" s="8"/>
      <c r="D59" s="8"/>
      <c r="E59" s="87"/>
      <c r="F59" s="8"/>
      <c r="G59" s="61"/>
      <c r="H59" s="10"/>
      <c r="I59" s="58"/>
      <c r="J59" s="92"/>
      <c r="K59" s="13">
        <f t="shared" si="0"/>
        <v>0</v>
      </c>
      <c r="L59" s="36"/>
      <c r="M59" s="36"/>
      <c r="N59" s="36"/>
      <c r="O59" s="36"/>
      <c r="P59" s="36"/>
      <c r="Q59" s="36"/>
      <c r="R59" s="36"/>
      <c r="S59" s="36"/>
    </row>
    <row r="60" spans="2:19" x14ac:dyDescent="0.25">
      <c r="B60" s="55"/>
      <c r="C60" s="8"/>
      <c r="D60" s="8"/>
      <c r="E60" s="55"/>
      <c r="F60" s="8"/>
      <c r="G60" s="8"/>
      <c r="H60" s="8"/>
      <c r="I60" s="8"/>
      <c r="J60" s="92"/>
      <c r="K60" s="13">
        <f t="shared" si="0"/>
        <v>0</v>
      </c>
      <c r="L60" s="36"/>
      <c r="M60" s="36"/>
      <c r="N60" s="36"/>
      <c r="O60" s="36"/>
      <c r="P60" s="36"/>
      <c r="Q60" s="36"/>
      <c r="R60" s="36"/>
      <c r="S60" s="36"/>
    </row>
    <row r="61" spans="2:19" x14ac:dyDescent="0.25">
      <c r="B61" s="55"/>
      <c r="C61" s="8"/>
      <c r="D61" s="8"/>
      <c r="E61" s="55"/>
      <c r="F61" s="8"/>
      <c r="G61" s="81"/>
      <c r="H61" s="8"/>
      <c r="I61" s="8"/>
      <c r="J61" s="92"/>
      <c r="K61" s="13">
        <f t="shared" si="0"/>
        <v>0</v>
      </c>
      <c r="L61" s="36"/>
      <c r="M61" s="36"/>
      <c r="N61" s="36"/>
      <c r="O61" s="36"/>
      <c r="P61" s="36"/>
      <c r="Q61" s="36"/>
      <c r="R61" s="36"/>
      <c r="S61" s="36"/>
    </row>
    <row r="62" spans="2:19" x14ac:dyDescent="0.25">
      <c r="B62" s="55"/>
      <c r="C62" s="8"/>
      <c r="D62" s="8"/>
      <c r="E62" s="55"/>
      <c r="F62" s="8"/>
      <c r="G62" s="61"/>
      <c r="H62" s="10"/>
      <c r="I62" s="58"/>
      <c r="J62" s="92"/>
      <c r="K62" s="13">
        <f t="shared" si="0"/>
        <v>0</v>
      </c>
      <c r="L62" s="36"/>
      <c r="M62" s="36"/>
      <c r="N62" s="36"/>
      <c r="O62" s="36"/>
      <c r="P62" s="36"/>
      <c r="Q62" s="36"/>
      <c r="R62" s="36"/>
      <c r="S62" s="36"/>
    </row>
    <row r="63" spans="2:19" x14ac:dyDescent="0.25">
      <c r="B63" s="55"/>
      <c r="C63" s="8"/>
      <c r="D63" s="8"/>
      <c r="E63" s="55"/>
      <c r="F63" s="8"/>
      <c r="G63" s="8"/>
      <c r="H63" s="8"/>
      <c r="I63" s="8"/>
      <c r="J63" s="92"/>
      <c r="K63" s="13">
        <f t="shared" si="0"/>
        <v>0</v>
      </c>
      <c r="L63" s="36"/>
      <c r="M63" s="36"/>
      <c r="N63" s="36"/>
      <c r="O63" s="36"/>
      <c r="P63" s="36"/>
      <c r="Q63" s="36"/>
      <c r="R63" s="36"/>
      <c r="S63" s="36"/>
    </row>
    <row r="64" spans="2:19" x14ac:dyDescent="0.25">
      <c r="B64" s="55"/>
      <c r="C64" s="8"/>
      <c r="D64" s="8"/>
      <c r="E64" s="55"/>
      <c r="F64" s="8"/>
      <c r="G64" s="8"/>
      <c r="H64" s="8"/>
      <c r="I64" s="8"/>
      <c r="J64" s="92"/>
      <c r="K64" s="13">
        <f t="shared" si="0"/>
        <v>0</v>
      </c>
      <c r="L64" s="36"/>
      <c r="M64" s="36"/>
      <c r="N64" s="36"/>
      <c r="O64" s="36"/>
      <c r="P64" s="36"/>
      <c r="Q64" s="36"/>
      <c r="R64" s="36"/>
      <c r="S64" s="36"/>
    </row>
    <row r="65" spans="6:11" x14ac:dyDescent="0.25">
      <c r="F65" t="s">
        <v>476</v>
      </c>
      <c r="J65" s="75">
        <f>SUM(J4:J64)</f>
        <v>874.7</v>
      </c>
      <c r="K65" s="43">
        <f>SUM(K4:K64)</f>
        <v>3061.45</v>
      </c>
    </row>
    <row r="66" spans="9:9" x14ac:dyDescent="0.25">
      <c r="I66" s="53"/>
    </row>
    <row r="67" spans="9:9" x14ac:dyDescent="0.25">
      <c r="I67" s="54"/>
    </row>
    <row r="68" spans="9:9" x14ac:dyDescent="0.25">
      <c r="I68" s="53"/>
    </row>
    <row r="69" spans="9:9" x14ac:dyDescent="0.25">
      <c r="I69" s="54"/>
    </row>
    <row r="70" spans="9:9" x14ac:dyDescent="0.25">
      <c r="I70" s="53"/>
    </row>
    <row r="71" spans="9:9" x14ac:dyDescent="0.25">
      <c r="I71" s="54"/>
    </row>
    <row r="74" spans="9:9" x14ac:dyDescent="0.25">
      <c r="I74" s="53"/>
    </row>
    <row r="75" spans="9:9" x14ac:dyDescent="0.25">
      <c r="I75" s="54"/>
    </row>
    <row r="77" spans="9:9" x14ac:dyDescent="0.25">
      <c r="I77" s="53"/>
    </row>
    <row r="78" spans="9:9" x14ac:dyDescent="0.25">
      <c r="I78" s="54"/>
    </row>
    <row r="88" spans="12:12" x14ac:dyDescent="0.25">
      <c r="L88" s="53"/>
    </row>
    <row r="89" ht="15.75" customHeight="1" spans="2:11" x14ac:dyDescent="0.25">
      <c r="B89" s="51" t="s">
        <v>123</v>
      </c>
      <c r="C89" s="51"/>
      <c r="D89" s="51"/>
      <c r="E89" s="51"/>
      <c r="F89" s="51"/>
      <c r="G89" s="51"/>
      <c r="H89" s="51"/>
      <c r="I89" s="51"/>
      <c r="J89" s="51"/>
      <c r="K89" s="51"/>
    </row>
    <row r="90" spans="2:11" x14ac:dyDescent="0.25">
      <c r="B90" s="1" t="s">
        <v>0</v>
      </c>
      <c r="C90" s="1" t="s">
        <v>124</v>
      </c>
      <c r="D90" s="2" t="s">
        <v>61</v>
      </c>
      <c r="E90" s="2" t="s">
        <v>9</v>
      </c>
      <c r="F90" s="2" t="s">
        <v>10</v>
      </c>
      <c r="G90" s="2" t="s">
        <v>62</v>
      </c>
      <c r="H90" s="2" t="s">
        <v>11</v>
      </c>
      <c r="I90" s="2" t="s">
        <v>12</v>
      </c>
      <c r="J90" s="44" t="s">
        <v>64</v>
      </c>
      <c r="K90" s="45" t="s">
        <v>13</v>
      </c>
    </row>
    <row r="91" spans="2:11" x14ac:dyDescent="0.25">
      <c r="B91" s="36"/>
      <c r="C91" s="36"/>
      <c r="D91" s="36"/>
      <c r="E91" s="36"/>
      <c r="F91" s="36"/>
      <c r="G91" s="36"/>
      <c r="H91" s="36"/>
      <c r="I91" s="36"/>
      <c r="J91" s="36"/>
      <c r="K91" s="36"/>
    </row>
    <row r="92" spans="2:11" x14ac:dyDescent="0.25">
      <c r="B92" s="36"/>
      <c r="C92" s="36"/>
      <c r="D92" s="36"/>
      <c r="E92" s="36"/>
      <c r="F92" s="36"/>
      <c r="G92" s="36"/>
      <c r="H92" s="36"/>
      <c r="I92" s="36"/>
      <c r="J92" s="36"/>
      <c r="K92" s="36"/>
    </row>
    <row r="93" spans="2:11" x14ac:dyDescent="0.25">
      <c r="B93" s="36"/>
      <c r="C93" s="36"/>
      <c r="D93" s="36"/>
      <c r="E93" s="36"/>
      <c r="F93" s="36"/>
      <c r="G93" s="36"/>
      <c r="H93" s="36"/>
      <c r="I93" s="36"/>
      <c r="J93" s="36"/>
      <c r="K93" s="36"/>
    </row>
    <row r="94" spans="2:11" x14ac:dyDescent="0.25">
      <c r="B94" s="36"/>
      <c r="C94" s="36"/>
      <c r="D94" s="36"/>
      <c r="E94" s="36"/>
      <c r="F94" s="36"/>
      <c r="G94" s="36"/>
      <c r="H94" s="36"/>
      <c r="I94" s="36"/>
      <c r="J94" s="36"/>
      <c r="K94" s="36"/>
    </row>
    <row r="95" spans="2:11" x14ac:dyDescent="0.25">
      <c r="B95" s="36"/>
      <c r="C95" s="36"/>
      <c r="D95" s="36"/>
      <c r="E95" s="36"/>
      <c r="F95" s="36"/>
      <c r="G95" s="36"/>
      <c r="H95" s="36"/>
      <c r="I95" s="36"/>
      <c r="J95" s="36"/>
      <c r="K95" s="36"/>
    </row>
    <row r="96" spans="2:11" x14ac:dyDescent="0.25">
      <c r="B96" s="36"/>
      <c r="C96" s="36"/>
      <c r="D96" s="36"/>
      <c r="E96" s="36"/>
      <c r="F96" s="36"/>
      <c r="G96" s="36"/>
      <c r="H96" s="36"/>
      <c r="I96" s="36"/>
      <c r="J96" s="36"/>
      <c r="K96" s="36"/>
    </row>
    <row r="97" spans="2:11" x14ac:dyDescent="0.25">
      <c r="B97" s="36"/>
      <c r="C97" s="36"/>
      <c r="D97" s="36"/>
      <c r="E97" s="36"/>
      <c r="F97" s="36"/>
      <c r="G97" s="36"/>
      <c r="H97" s="36"/>
      <c r="I97" s="36"/>
      <c r="J97" s="36"/>
      <c r="K97" s="36"/>
    </row>
    <row r="98" spans="2:11" x14ac:dyDescent="0.25">
      <c r="B98" s="36"/>
      <c r="C98" s="36"/>
      <c r="D98" s="36"/>
      <c r="E98" s="36"/>
      <c r="F98" s="36"/>
      <c r="G98" s="36"/>
      <c r="H98" s="36"/>
      <c r="I98" s="36"/>
      <c r="J98" s="36"/>
      <c r="K98" s="36"/>
    </row>
    <row r="99" spans="2:11" x14ac:dyDescent="0.25">
      <c r="B99" s="36"/>
      <c r="C99" s="36"/>
      <c r="D99" s="36"/>
      <c r="E99" s="36"/>
      <c r="F99" s="36"/>
      <c r="G99" s="36"/>
      <c r="H99" s="36"/>
      <c r="I99" s="36"/>
      <c r="J99" s="36"/>
      <c r="K99" s="36"/>
    </row>
    <row r="100" spans="12:12" x14ac:dyDescent="0.25">
      <c r="L100" s="54"/>
    </row>
  </sheetData>
  <hyperlinks>
    <hyperlink ref="H4" r:id="rId1"/>
    <hyperlink ref="I4" r:id="rId2"/>
    <hyperlink ref="H5" r:id="rId3"/>
    <hyperlink ref="I5" r:id="rId4"/>
    <hyperlink ref="H6" r:id="rId5"/>
    <hyperlink ref="I6" r:id="rId6"/>
    <hyperlink ref="H7" r:id="rId7"/>
    <hyperlink ref="I7" r:id="rId8"/>
    <hyperlink ref="H8" r:id="rId9"/>
    <hyperlink ref="I8" r:id="rId10"/>
    <hyperlink ref="H9" r:id="rId11"/>
    <hyperlink ref="I9" r:id="rId12"/>
    <hyperlink ref="H10" r:id="rId13"/>
    <hyperlink ref="I10" r:id="rId14"/>
  </hyperlinks>
  <pageMargins left="0.7" right="0.7" top="0.75" bottom="0.75" header="0.3" footer="0.3"/>
  <pageSetup paperSize="9" orientation="portrait" horizontalDpi="360" verticalDpi="360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100"/>
  <sheetViews>
    <sheetView workbookViewId="0" zoomScale="70" zoomScaleNormal="70">
      <selection activeCell="C28" sqref="C28"/>
    </sheetView>
  </sheetViews>
  <sheetFormatPr defaultRowHeight="15" outlineLevelRow="0" outlineLevelCol="0" x14ac:dyDescent="0.25"/>
  <cols>
    <col min="1" max="1" width="9.42578125" customWidth="1"/>
    <col min="2" max="2" width="39.5703125" customWidth="1"/>
    <col min="3" max="3" width="15" customWidth="1"/>
    <col min="4" max="4" width="30.140625" customWidth="1"/>
    <col min="5" max="5" width="23.7109375" customWidth="1"/>
    <col min="6" max="6" width="27.5703125" customWidth="1"/>
    <col min="7" max="7" width="44.5703125" customWidth="1"/>
    <col min="8" max="8" width="41" customWidth="1"/>
    <col min="9" max="9" width="138.7109375" customWidth="1"/>
    <col min="10" max="10" width="23.5703125" customWidth="1"/>
    <col min="11" max="11" width="25.85546875" customWidth="1"/>
    <col min="12" max="12" width="24.85546875" customWidth="1"/>
    <col min="13" max="13" width="26.7109375" customWidth="1"/>
    <col min="14" max="14" width="22.85546875" customWidth="1"/>
    <col min="15" max="16" width="17.42578125" customWidth="1"/>
    <col min="17" max="17" width="13.42578125" customWidth="1"/>
    <col min="18" max="18" width="13" customWidth="1"/>
    <col min="19" max="19" width="18.28515625" customWidth="1"/>
    <col min="20" max="20" width="17.5703125" customWidth="1"/>
    <col min="21" max="21" width="19.140625" customWidth="1"/>
    <col min="23" max="23" width="21" customWidth="1"/>
  </cols>
  <sheetData>
    <row r="2" ht="15.75" customHeight="1" x14ac:dyDescent="0.25"/>
    <row r="3" ht="29.25" customHeight="1" spans="2:21" x14ac:dyDescent="0.25">
      <c r="B3" s="1" t="s">
        <v>0</v>
      </c>
      <c r="C3" s="2" t="s">
        <v>58</v>
      </c>
      <c r="D3" s="2" t="s">
        <v>59</v>
      </c>
      <c r="E3" s="2" t="s">
        <v>53</v>
      </c>
      <c r="F3" s="2" t="s">
        <v>3</v>
      </c>
      <c r="G3" s="2" t="s">
        <v>4</v>
      </c>
      <c r="H3" s="2" t="s">
        <v>60</v>
      </c>
      <c r="I3" s="2" t="s">
        <v>6</v>
      </c>
      <c r="J3" s="2" t="s">
        <v>7</v>
      </c>
      <c r="K3" s="2" t="s">
        <v>61</v>
      </c>
      <c r="L3" s="2" t="s">
        <v>9</v>
      </c>
      <c r="M3" s="2" t="s">
        <v>10</v>
      </c>
      <c r="N3" s="2" t="s">
        <v>62</v>
      </c>
      <c r="O3" s="2" t="s">
        <v>11</v>
      </c>
      <c r="P3" s="2" t="s">
        <v>12</v>
      </c>
      <c r="Q3" s="44" t="s">
        <v>64</v>
      </c>
      <c r="R3" s="45" t="s">
        <v>13</v>
      </c>
      <c r="S3" s="45" t="s">
        <v>65</v>
      </c>
      <c r="U3" s="4" t="s">
        <v>14</v>
      </c>
    </row>
    <row r="4" ht="32.25" customHeight="1" spans="2:21" x14ac:dyDescent="0.25">
      <c r="B4" s="88" t="s">
        <v>667</v>
      </c>
      <c r="C4" s="85" t="s">
        <v>66</v>
      </c>
      <c r="D4" s="55" t="s">
        <v>66</v>
      </c>
      <c r="E4" s="88" t="s">
        <v>668</v>
      </c>
      <c r="F4" s="55" t="s">
        <v>16</v>
      </c>
      <c r="G4" s="57" t="s">
        <v>669</v>
      </c>
      <c r="H4" s="47" t="s">
        <v>670</v>
      </c>
      <c r="I4" s="47" t="s">
        <v>671</v>
      </c>
      <c r="J4" s="92">
        <v>511.98</v>
      </c>
      <c r="K4" s="13">
        <f>J4*$U$4</f>
        <v>1740.732</v>
      </c>
      <c r="L4" s="13"/>
      <c r="M4" s="13"/>
      <c r="N4" s="13"/>
      <c r="O4" s="15"/>
      <c r="P4" s="8"/>
      <c r="Q4" s="46"/>
      <c r="R4" s="8"/>
      <c r="S4" s="36"/>
      <c r="U4" s="8">
        <v>3.4</v>
      </c>
    </row>
    <row r="5" spans="2:21" x14ac:dyDescent="0.25">
      <c r="B5" s="89" t="s">
        <v>672</v>
      </c>
      <c r="C5" s="85" t="s">
        <v>66</v>
      </c>
      <c r="D5" s="55" t="s">
        <v>66</v>
      </c>
      <c r="E5" s="89" t="s">
        <v>673</v>
      </c>
      <c r="F5" s="55" t="s">
        <v>16</v>
      </c>
      <c r="G5" s="57" t="s">
        <v>674</v>
      </c>
      <c r="H5" s="47" t="s">
        <v>675</v>
      </c>
      <c r="I5" s="47" t="s">
        <v>676</v>
      </c>
      <c r="J5" s="92">
        <v>127.2</v>
      </c>
      <c r="K5" s="13">
        <f t="shared" ref="K5:K41" si="0">J5*$U$4</f>
        <v>432.48</v>
      </c>
      <c r="L5" s="13"/>
      <c r="M5" s="13"/>
      <c r="N5" s="13"/>
      <c r="O5" s="15"/>
      <c r="P5" s="8"/>
      <c r="Q5" s="46"/>
      <c r="R5" s="8"/>
      <c r="S5" s="36"/>
      <c r="U5" s="20"/>
    </row>
    <row r="6" spans="2:21" x14ac:dyDescent="0.25">
      <c r="B6" s="89" t="s">
        <v>677</v>
      </c>
      <c r="C6" s="85" t="s">
        <v>66</v>
      </c>
      <c r="D6" s="55" t="s">
        <v>66</v>
      </c>
      <c r="E6" s="89" t="s">
        <v>678</v>
      </c>
      <c r="F6" s="55" t="s">
        <v>16</v>
      </c>
      <c r="G6" s="57" t="s">
        <v>679</v>
      </c>
      <c r="H6" s="47" t="s">
        <v>278</v>
      </c>
      <c r="I6" s="47" t="s">
        <v>680</v>
      </c>
      <c r="J6" s="92">
        <v>162.49</v>
      </c>
      <c r="K6" s="13">
        <f t="shared" si="0"/>
        <v>552.466</v>
      </c>
      <c r="L6" s="13"/>
      <c r="M6" s="13"/>
      <c r="N6" s="13"/>
      <c r="O6" s="15"/>
      <c r="P6" s="8"/>
      <c r="Q6" s="46"/>
      <c r="R6" s="8"/>
      <c r="S6" s="36"/>
      <c r="U6" s="20"/>
    </row>
    <row r="7" ht="21" customHeight="1" spans="2:21" x14ac:dyDescent="0.25">
      <c r="B7" s="89" t="s">
        <v>681</v>
      </c>
      <c r="C7" s="85" t="s">
        <v>66</v>
      </c>
      <c r="D7" s="55" t="s">
        <v>66</v>
      </c>
      <c r="E7" s="89" t="s">
        <v>682</v>
      </c>
      <c r="F7" s="55" t="s">
        <v>130</v>
      </c>
      <c r="G7" s="57" t="s">
        <v>683</v>
      </c>
      <c r="H7" s="47" t="s">
        <v>234</v>
      </c>
      <c r="I7" s="47" t="s">
        <v>684</v>
      </c>
      <c r="J7" s="92">
        <v>139.95</v>
      </c>
      <c r="K7" s="13">
        <f t="shared" si="0"/>
        <v>475.8299999999999</v>
      </c>
      <c r="L7" s="13"/>
      <c r="M7" s="13"/>
      <c r="N7" s="13"/>
      <c r="O7" s="15"/>
      <c r="P7" s="8"/>
      <c r="Q7" s="46"/>
      <c r="R7" s="8"/>
      <c r="S7" s="36"/>
      <c r="U7" s="22"/>
    </row>
    <row r="8" spans="2:21" x14ac:dyDescent="0.25">
      <c r="B8" s="89" t="s">
        <v>685</v>
      </c>
      <c r="C8" s="85" t="s">
        <v>66</v>
      </c>
      <c r="D8" s="55" t="s">
        <v>66</v>
      </c>
      <c r="E8" s="89" t="s">
        <v>686</v>
      </c>
      <c r="F8" s="55" t="s">
        <v>21</v>
      </c>
      <c r="G8" s="57" t="s">
        <v>687</v>
      </c>
      <c r="H8" s="47" t="s">
        <v>688</v>
      </c>
      <c r="I8" s="47" t="s">
        <v>689</v>
      </c>
      <c r="J8" s="92">
        <v>80</v>
      </c>
      <c r="K8" s="13">
        <f t="shared" si="0"/>
        <v>272</v>
      </c>
      <c r="L8" s="13"/>
      <c r="M8" s="13"/>
      <c r="N8" s="13"/>
      <c r="O8" s="15"/>
      <c r="P8" s="8"/>
      <c r="Q8" s="46"/>
      <c r="R8" s="8"/>
      <c r="S8" s="36"/>
      <c r="U8" s="23"/>
    </row>
    <row r="9" spans="2:11" x14ac:dyDescent="0.25">
      <c r="B9" s="13"/>
      <c r="C9" s="13"/>
      <c r="D9" s="13"/>
      <c r="E9" s="15"/>
      <c r="F9" s="8"/>
      <c r="G9" s="46"/>
      <c r="H9" s="8"/>
      <c r="I9" s="36"/>
      <c r="K9" s="20"/>
    </row>
    <row r="10" spans="2:11" s="62" customFormat="1" x14ac:dyDescent="0.25">
      <c r="B10" s="64"/>
      <c r="C10" s="64"/>
      <c r="D10" s="64"/>
      <c r="E10" s="15"/>
      <c r="F10" s="8"/>
      <c r="G10" s="65"/>
      <c r="H10" s="66"/>
      <c r="I10" s="66"/>
      <c r="K10" s="20"/>
    </row>
    <row r="11" spans="2:11" x14ac:dyDescent="0.25">
      <c r="B11" s="13"/>
      <c r="C11" s="13"/>
      <c r="D11" s="13"/>
      <c r="E11" s="15"/>
      <c r="F11" s="8"/>
      <c r="G11" s="46"/>
      <c r="H11" s="36"/>
      <c r="I11" s="36"/>
      <c r="K11" s="24"/>
    </row>
    <row r="12" spans="2:21" x14ac:dyDescent="0.25">
      <c r="B12" s="55"/>
      <c r="C12" s="8"/>
      <c r="D12" s="7"/>
      <c r="E12" s="61"/>
      <c r="F12" s="8"/>
      <c r="G12" s="9"/>
      <c r="H12" s="47"/>
      <c r="I12" s="10"/>
      <c r="J12" s="92"/>
      <c r="K12" s="13">
        <f t="shared" si="0"/>
        <v>0</v>
      </c>
      <c r="L12" s="13"/>
      <c r="M12" s="13"/>
      <c r="N12" s="13"/>
      <c r="O12" s="15"/>
      <c r="P12" s="8"/>
      <c r="Q12" s="46"/>
      <c r="R12" s="36"/>
      <c r="S12" s="36"/>
      <c r="U12" s="23"/>
    </row>
    <row r="13" spans="2:21" x14ac:dyDescent="0.25">
      <c r="B13" s="55"/>
      <c r="C13" s="8"/>
      <c r="D13" s="7"/>
      <c r="E13" s="61"/>
      <c r="F13" s="8"/>
      <c r="G13" s="9"/>
      <c r="H13" s="47"/>
      <c r="I13" s="10"/>
      <c r="J13" s="92"/>
      <c r="K13" s="13">
        <f t="shared" si="0"/>
        <v>0</v>
      </c>
      <c r="L13" s="13"/>
      <c r="M13" s="13"/>
      <c r="N13" s="13"/>
      <c r="O13" s="15"/>
      <c r="P13" s="8"/>
      <c r="Q13" s="46"/>
      <c r="R13" s="36"/>
      <c r="S13" s="36"/>
      <c r="U13" s="20"/>
    </row>
    <row r="14" spans="2:21" x14ac:dyDescent="0.25">
      <c r="B14" s="55"/>
      <c r="C14" s="8"/>
      <c r="D14" s="7"/>
      <c r="E14" s="61"/>
      <c r="F14" s="8"/>
      <c r="G14" s="9"/>
      <c r="H14" s="47"/>
      <c r="I14" s="10"/>
      <c r="J14" s="92"/>
      <c r="K14" s="13">
        <f t="shared" si="0"/>
        <v>0</v>
      </c>
      <c r="L14" s="13"/>
      <c r="M14" s="13"/>
      <c r="N14" s="13"/>
      <c r="O14" s="15"/>
      <c r="P14" s="8"/>
      <c r="Q14" s="46"/>
      <c r="R14" s="36"/>
      <c r="S14" s="36"/>
      <c r="U14" s="20"/>
    </row>
    <row r="15" spans="2:21" x14ac:dyDescent="0.25">
      <c r="B15" s="55"/>
      <c r="C15" s="8"/>
      <c r="D15" s="7"/>
      <c r="E15" s="61"/>
      <c r="F15" s="8"/>
      <c r="G15" s="9"/>
      <c r="H15" s="47"/>
      <c r="I15" s="10"/>
      <c r="J15" s="92"/>
      <c r="K15" s="13">
        <f t="shared" si="0"/>
        <v>0</v>
      </c>
      <c r="L15" s="13"/>
      <c r="M15" s="13"/>
      <c r="N15" s="13"/>
      <c r="O15" s="15"/>
      <c r="P15" s="8"/>
      <c r="Q15" s="46"/>
      <c r="R15" s="36"/>
      <c r="S15" s="36"/>
      <c r="U15" s="40"/>
    </row>
    <row r="16" spans="2:21" x14ac:dyDescent="0.25">
      <c r="B16" s="55"/>
      <c r="C16" s="8"/>
      <c r="D16" s="7"/>
      <c r="E16" s="61"/>
      <c r="F16" s="8"/>
      <c r="G16" s="9"/>
      <c r="H16" s="47"/>
      <c r="I16" s="10"/>
      <c r="J16" s="92"/>
      <c r="K16" s="13">
        <f t="shared" si="0"/>
        <v>0</v>
      </c>
      <c r="L16" s="13"/>
      <c r="M16" s="13"/>
      <c r="N16" s="13"/>
      <c r="O16" s="15"/>
      <c r="P16" s="8"/>
      <c r="Q16" s="46"/>
      <c r="R16" s="36"/>
      <c r="S16" s="36"/>
      <c r="U16" s="23"/>
    </row>
    <row r="17" spans="2:19" x14ac:dyDescent="0.25">
      <c r="B17" s="55"/>
      <c r="C17" s="8"/>
      <c r="D17" s="7"/>
      <c r="E17" s="61"/>
      <c r="F17" s="8"/>
      <c r="G17" s="61"/>
      <c r="H17" s="47"/>
      <c r="I17" s="10"/>
      <c r="J17" s="92"/>
      <c r="K17" s="13">
        <f t="shared" si="0"/>
        <v>0</v>
      </c>
      <c r="L17" s="13"/>
      <c r="M17" s="13"/>
      <c r="N17" s="13"/>
      <c r="O17" s="15"/>
      <c r="P17" s="8"/>
      <c r="Q17" s="46"/>
      <c r="R17" s="36"/>
      <c r="S17" s="36"/>
    </row>
    <row r="18" spans="2:19" x14ac:dyDescent="0.25">
      <c r="B18" s="55"/>
      <c r="C18" s="8"/>
      <c r="D18" s="7"/>
      <c r="E18" s="61"/>
      <c r="F18" s="8"/>
      <c r="G18" s="61"/>
      <c r="H18" s="47"/>
      <c r="I18" s="10"/>
      <c r="J18" s="92"/>
      <c r="K18" s="13">
        <f t="shared" si="0"/>
        <v>0</v>
      </c>
      <c r="L18" s="13"/>
      <c r="M18" s="13"/>
      <c r="N18" s="13"/>
      <c r="O18" s="15"/>
      <c r="P18" s="8"/>
      <c r="Q18" s="46"/>
      <c r="R18" s="36"/>
      <c r="S18" s="36"/>
    </row>
    <row r="19" spans="2:19" x14ac:dyDescent="0.25">
      <c r="B19" s="55"/>
      <c r="C19" s="8"/>
      <c r="D19" s="7"/>
      <c r="E19" s="61"/>
      <c r="F19" s="8"/>
      <c r="G19" s="9"/>
      <c r="H19" s="47"/>
      <c r="I19" s="10"/>
      <c r="J19" s="92"/>
      <c r="K19" s="13">
        <f t="shared" si="0"/>
        <v>0</v>
      </c>
      <c r="L19" s="13"/>
      <c r="M19" s="13"/>
      <c r="N19" s="13"/>
      <c r="O19" s="15"/>
      <c r="P19" s="8"/>
      <c r="Q19" s="46"/>
      <c r="R19" s="36"/>
      <c r="S19" s="36"/>
    </row>
    <row r="20" spans="2:19" x14ac:dyDescent="0.25">
      <c r="B20" s="55"/>
      <c r="C20" s="8"/>
      <c r="D20" s="7"/>
      <c r="E20" s="61"/>
      <c r="F20" s="8"/>
      <c r="G20" s="9"/>
      <c r="H20" s="47"/>
      <c r="I20" s="10"/>
      <c r="J20" s="92"/>
      <c r="K20" s="13">
        <f t="shared" si="0"/>
        <v>0</v>
      </c>
      <c r="L20" s="13"/>
      <c r="M20" s="13"/>
      <c r="N20" s="13"/>
      <c r="O20" s="15"/>
      <c r="P20" s="8"/>
      <c r="Q20" s="46"/>
      <c r="R20" s="36"/>
      <c r="S20" s="36"/>
    </row>
    <row r="21" spans="2:19" x14ac:dyDescent="0.25">
      <c r="B21" s="55"/>
      <c r="C21" s="8"/>
      <c r="D21" s="7"/>
      <c r="E21" s="61"/>
      <c r="F21" s="8"/>
      <c r="G21" s="9"/>
      <c r="H21" s="47"/>
      <c r="I21" s="10"/>
      <c r="J21" s="92"/>
      <c r="K21" s="13">
        <f t="shared" si="0"/>
        <v>0</v>
      </c>
      <c r="L21" s="13"/>
      <c r="M21" s="13"/>
      <c r="N21" s="13"/>
      <c r="O21" s="15">
        <f>L21-K21-N21</f>
        <v>0</v>
      </c>
      <c r="P21" s="8"/>
      <c r="Q21" s="46"/>
      <c r="R21" s="36"/>
      <c r="S21" s="36"/>
    </row>
    <row r="22" spans="2:19" x14ac:dyDescent="0.25">
      <c r="B22" s="55"/>
      <c r="C22" s="8"/>
      <c r="D22" s="7"/>
      <c r="E22" s="61"/>
      <c r="F22" s="8"/>
      <c r="G22" s="9"/>
      <c r="H22" s="47"/>
      <c r="I22" s="10"/>
      <c r="J22" s="92"/>
      <c r="K22" s="13">
        <f t="shared" si="0"/>
        <v>0</v>
      </c>
      <c r="L22" s="13"/>
      <c r="M22" s="13"/>
      <c r="N22" s="13"/>
      <c r="O22" s="15">
        <f>L22-K22-N22</f>
        <v>0</v>
      </c>
      <c r="P22" s="8"/>
      <c r="Q22" s="46"/>
      <c r="R22" s="36"/>
      <c r="S22" s="36"/>
    </row>
    <row r="23" spans="2:19" x14ac:dyDescent="0.25">
      <c r="B23" s="55"/>
      <c r="C23" s="8"/>
      <c r="D23" s="7"/>
      <c r="E23" s="61"/>
      <c r="F23" s="8"/>
      <c r="G23" s="9"/>
      <c r="H23" s="57"/>
      <c r="I23" s="10"/>
      <c r="J23" s="92"/>
      <c r="K23" s="13">
        <f t="shared" si="0"/>
        <v>0</v>
      </c>
      <c r="L23" s="13"/>
      <c r="M23" s="13"/>
      <c r="N23" s="13"/>
      <c r="O23" s="15">
        <f>L23-K23-N23</f>
        <v>0</v>
      </c>
      <c r="P23" s="8"/>
      <c r="Q23" s="46"/>
      <c r="R23" s="36"/>
      <c r="S23" s="36"/>
    </row>
    <row r="24" spans="2:19" x14ac:dyDescent="0.25">
      <c r="B24" s="55"/>
      <c r="C24" s="8"/>
      <c r="D24" s="8"/>
      <c r="E24" s="61"/>
      <c r="F24" s="8"/>
      <c r="G24" s="8"/>
      <c r="H24" s="47"/>
      <c r="I24" s="10"/>
      <c r="J24" s="92"/>
      <c r="K24" s="13">
        <f t="shared" si="0"/>
        <v>0</v>
      </c>
      <c r="L24" s="36"/>
      <c r="M24" s="67"/>
      <c r="N24" s="67">
        <f>SUM(L4:L23)</f>
        <v>0</v>
      </c>
      <c r="O24" s="36"/>
      <c r="P24" s="36"/>
      <c r="Q24" s="67">
        <f>SUM(O4:O23)</f>
        <v>0</v>
      </c>
      <c r="R24" s="36"/>
      <c r="S24" s="36"/>
    </row>
    <row r="25" spans="2:19" x14ac:dyDescent="0.25">
      <c r="B25" s="55"/>
      <c r="C25" s="8"/>
      <c r="D25" s="8"/>
      <c r="E25" s="61"/>
      <c r="F25" s="8"/>
      <c r="G25" s="61"/>
      <c r="H25" s="47"/>
      <c r="I25" s="10"/>
      <c r="J25" s="92"/>
      <c r="K25" s="13">
        <f t="shared" si="0"/>
        <v>0</v>
      </c>
      <c r="L25" s="36"/>
      <c r="M25" s="36"/>
      <c r="N25" s="36"/>
      <c r="O25" s="36"/>
      <c r="P25" s="36"/>
      <c r="Q25" s="36"/>
      <c r="R25" s="36"/>
      <c r="S25" s="36"/>
    </row>
    <row r="26" spans="2:19" x14ac:dyDescent="0.25">
      <c r="B26" s="55"/>
      <c r="C26" s="8"/>
      <c r="D26" s="8"/>
      <c r="E26" s="61"/>
      <c r="F26" s="8"/>
      <c r="G26" s="61"/>
      <c r="H26" s="47"/>
      <c r="I26" s="10"/>
      <c r="J26" s="92"/>
      <c r="K26" s="13">
        <f t="shared" si="0"/>
        <v>0</v>
      </c>
      <c r="L26" s="36"/>
      <c r="M26" s="36"/>
      <c r="N26" s="36"/>
      <c r="O26" s="36"/>
      <c r="P26" s="36"/>
      <c r="Q26" s="36"/>
      <c r="R26" s="36"/>
      <c r="S26" s="36"/>
    </row>
    <row r="27" ht="29.25" customHeight="1" spans="2:19" x14ac:dyDescent="0.25">
      <c r="B27" s="55"/>
      <c r="C27" s="8"/>
      <c r="D27" s="8"/>
      <c r="E27" s="61"/>
      <c r="F27" s="8"/>
      <c r="G27" s="8"/>
      <c r="H27" s="47"/>
      <c r="I27" s="10"/>
      <c r="J27" s="92"/>
      <c r="K27" s="13">
        <f t="shared" si="0"/>
        <v>0</v>
      </c>
      <c r="L27" s="36"/>
      <c r="M27" s="36"/>
      <c r="N27" s="36"/>
      <c r="O27" s="36"/>
      <c r="P27" s="36"/>
      <c r="Q27" s="36"/>
      <c r="R27" s="36"/>
      <c r="S27" s="36"/>
    </row>
    <row r="28" spans="2:19" x14ac:dyDescent="0.25">
      <c r="B28" s="55"/>
      <c r="C28" s="8"/>
      <c r="D28" s="8"/>
      <c r="E28" s="61"/>
      <c r="F28" s="8"/>
      <c r="G28" s="8"/>
      <c r="H28" s="47"/>
      <c r="I28" s="10"/>
      <c r="J28" s="92"/>
      <c r="K28" s="13">
        <f t="shared" si="0"/>
        <v>0</v>
      </c>
      <c r="L28" s="36"/>
      <c r="M28" s="36"/>
      <c r="N28" s="36"/>
      <c r="O28" s="36"/>
      <c r="P28" s="36"/>
      <c r="Q28" s="36"/>
      <c r="R28" s="36"/>
      <c r="S28" s="36"/>
    </row>
    <row r="29" spans="2:19" x14ac:dyDescent="0.25">
      <c r="B29" s="55"/>
      <c r="C29" s="8"/>
      <c r="D29" s="8"/>
      <c r="E29" s="61"/>
      <c r="F29" s="8"/>
      <c r="G29" s="61"/>
      <c r="H29" s="47"/>
      <c r="I29" s="10"/>
      <c r="J29" s="92"/>
      <c r="K29" s="13">
        <f t="shared" si="0"/>
        <v>0</v>
      </c>
      <c r="L29" s="36"/>
      <c r="M29" s="36"/>
      <c r="N29" s="36"/>
      <c r="O29" s="36"/>
      <c r="P29" s="36"/>
      <c r="Q29" s="36"/>
      <c r="R29" s="36"/>
      <c r="S29" s="36"/>
    </row>
    <row r="30" spans="2:19" x14ac:dyDescent="0.25">
      <c r="B30" s="55"/>
      <c r="C30" s="8"/>
      <c r="D30" s="8"/>
      <c r="E30" s="61"/>
      <c r="F30" s="8"/>
      <c r="G30" s="61"/>
      <c r="H30" s="47"/>
      <c r="I30" s="10"/>
      <c r="J30" s="92"/>
      <c r="K30" s="13">
        <f t="shared" si="0"/>
        <v>0</v>
      </c>
      <c r="L30" s="36"/>
      <c r="M30" s="36"/>
      <c r="N30" s="36"/>
      <c r="O30" s="36"/>
      <c r="P30" s="36"/>
      <c r="Q30" s="36"/>
      <c r="R30" s="36"/>
      <c r="S30" s="36"/>
    </row>
    <row r="31" ht="30.75" customHeight="1" spans="2:19" x14ac:dyDescent="0.25">
      <c r="B31" s="55"/>
      <c r="C31" s="8"/>
      <c r="D31" s="8"/>
      <c r="E31" s="61"/>
      <c r="F31" s="8"/>
      <c r="G31" s="8"/>
      <c r="H31" s="47"/>
      <c r="I31" s="10"/>
      <c r="J31" s="92"/>
      <c r="K31" s="13">
        <f t="shared" si="0"/>
        <v>0</v>
      </c>
      <c r="L31" s="36"/>
      <c r="M31" s="36"/>
      <c r="N31" s="36"/>
      <c r="O31" s="36"/>
      <c r="P31" s="36"/>
      <c r="Q31" s="36"/>
      <c r="R31" s="36"/>
      <c r="S31" s="36"/>
    </row>
    <row r="32" spans="2:19" x14ac:dyDescent="0.25">
      <c r="B32" s="55"/>
      <c r="C32" s="8"/>
      <c r="D32" s="8"/>
      <c r="E32" s="61"/>
      <c r="F32" s="8"/>
      <c r="G32" s="8"/>
      <c r="H32" s="47"/>
      <c r="I32" s="10"/>
      <c r="J32" s="92"/>
      <c r="K32" s="13">
        <f t="shared" si="0"/>
        <v>0</v>
      </c>
      <c r="L32" s="36"/>
      <c r="M32" s="36"/>
      <c r="N32" s="36"/>
      <c r="O32" s="36"/>
      <c r="P32" s="36"/>
      <c r="Q32" s="36"/>
      <c r="R32" s="36"/>
      <c r="S32" s="36"/>
    </row>
    <row r="33" spans="2:19" x14ac:dyDescent="0.25">
      <c r="B33" s="55"/>
      <c r="C33" s="8"/>
      <c r="D33" s="8"/>
      <c r="E33" s="61"/>
      <c r="F33" s="8"/>
      <c r="G33" s="61"/>
      <c r="H33" s="47"/>
      <c r="I33" s="10"/>
      <c r="J33" s="92"/>
      <c r="K33" s="13">
        <f t="shared" si="0"/>
        <v>0</v>
      </c>
      <c r="L33" s="36"/>
      <c r="M33" s="36"/>
      <c r="N33" s="36"/>
      <c r="O33" s="36"/>
      <c r="P33" s="36"/>
      <c r="Q33" s="36"/>
      <c r="R33" s="36"/>
      <c r="S33" s="36"/>
    </row>
    <row r="34" spans="2:19" x14ac:dyDescent="0.25">
      <c r="B34" s="55"/>
      <c r="C34" s="8"/>
      <c r="D34" s="8"/>
      <c r="E34" s="61"/>
      <c r="F34" s="8"/>
      <c r="G34" s="8"/>
      <c r="H34" s="47"/>
      <c r="I34" s="10"/>
      <c r="J34" s="92"/>
      <c r="K34" s="13">
        <f t="shared" si="0"/>
        <v>0</v>
      </c>
      <c r="L34" s="36"/>
      <c r="M34" s="36"/>
      <c r="N34" s="36"/>
      <c r="O34" s="36"/>
      <c r="P34" s="36"/>
      <c r="Q34" s="36"/>
      <c r="R34" s="36"/>
      <c r="S34" s="36"/>
    </row>
    <row r="35" spans="2:19" x14ac:dyDescent="0.25">
      <c r="B35" s="55"/>
      <c r="C35" s="8"/>
      <c r="D35" s="8"/>
      <c r="E35" s="61"/>
      <c r="F35" s="8"/>
      <c r="G35" s="8"/>
      <c r="H35" s="47"/>
      <c r="I35" s="10"/>
      <c r="J35" s="92"/>
      <c r="K35" s="13">
        <f t="shared" si="0"/>
        <v>0</v>
      </c>
      <c r="L35" s="36"/>
      <c r="M35" s="36"/>
      <c r="N35" s="36"/>
      <c r="O35" s="36"/>
      <c r="P35" s="36"/>
      <c r="Q35" s="36"/>
      <c r="R35" s="36"/>
      <c r="S35" s="36"/>
    </row>
    <row r="36" spans="2:19" x14ac:dyDescent="0.25">
      <c r="B36" s="55"/>
      <c r="C36" s="8"/>
      <c r="D36" s="8"/>
      <c r="E36" s="61"/>
      <c r="F36" s="8"/>
      <c r="G36" s="61"/>
      <c r="H36" s="47"/>
      <c r="I36" s="10"/>
      <c r="J36" s="92"/>
      <c r="K36" s="13">
        <f t="shared" si="0"/>
        <v>0</v>
      </c>
      <c r="L36" s="36"/>
      <c r="M36" s="36"/>
      <c r="N36" s="36"/>
      <c r="O36" s="36"/>
      <c r="P36" s="36"/>
      <c r="Q36" s="36"/>
      <c r="R36" s="36"/>
      <c r="S36" s="36"/>
    </row>
    <row r="37" spans="2:19" x14ac:dyDescent="0.25">
      <c r="B37" s="55"/>
      <c r="C37" s="8"/>
      <c r="D37" s="8"/>
      <c r="E37" s="61"/>
      <c r="F37" s="8"/>
      <c r="G37" s="8"/>
      <c r="H37" s="47"/>
      <c r="I37" s="10"/>
      <c r="J37" s="92"/>
      <c r="K37" s="13">
        <f t="shared" si="0"/>
        <v>0</v>
      </c>
      <c r="L37" s="36"/>
      <c r="M37" s="36"/>
      <c r="N37" s="36"/>
      <c r="O37" s="36"/>
      <c r="P37" s="36"/>
      <c r="Q37" s="36"/>
      <c r="R37" s="36"/>
      <c r="S37" s="36"/>
    </row>
    <row r="38" spans="2:19" x14ac:dyDescent="0.25">
      <c r="B38" s="55"/>
      <c r="C38" s="8"/>
      <c r="D38" s="8"/>
      <c r="E38" s="61"/>
      <c r="F38" s="8"/>
      <c r="G38" s="8"/>
      <c r="H38" s="47"/>
      <c r="I38" s="10"/>
      <c r="J38" s="92"/>
      <c r="K38" s="13">
        <f t="shared" si="0"/>
        <v>0</v>
      </c>
      <c r="L38" s="36"/>
      <c r="M38" s="36"/>
      <c r="N38" s="36"/>
      <c r="O38" s="36"/>
      <c r="P38" s="36"/>
      <c r="Q38" s="36"/>
      <c r="R38" s="36"/>
      <c r="S38" s="36"/>
    </row>
    <row r="39" spans="2:19" x14ac:dyDescent="0.25">
      <c r="B39" s="55"/>
      <c r="C39" s="8"/>
      <c r="D39" s="8"/>
      <c r="E39" s="61"/>
      <c r="F39" s="8"/>
      <c r="G39" s="61"/>
      <c r="H39" s="47"/>
      <c r="I39" s="10"/>
      <c r="J39" s="92"/>
      <c r="K39" s="13">
        <f t="shared" si="0"/>
        <v>0</v>
      </c>
      <c r="L39" s="36"/>
      <c r="M39" s="36"/>
      <c r="N39" s="36"/>
      <c r="O39" s="36"/>
      <c r="P39" s="36"/>
      <c r="Q39" s="36"/>
      <c r="R39" s="36"/>
      <c r="S39" s="36"/>
    </row>
    <row r="40" spans="2:19" x14ac:dyDescent="0.25">
      <c r="B40" s="55"/>
      <c r="C40" s="8"/>
      <c r="D40" s="8"/>
      <c r="E40" s="61"/>
      <c r="F40" s="8"/>
      <c r="G40" s="8"/>
      <c r="H40" s="47"/>
      <c r="I40" s="10"/>
      <c r="J40" s="92"/>
      <c r="K40" s="13">
        <f t="shared" si="0"/>
        <v>0</v>
      </c>
      <c r="L40" s="36"/>
      <c r="M40" s="36"/>
      <c r="N40" s="36"/>
      <c r="O40" s="36"/>
      <c r="P40" s="36"/>
      <c r="Q40" s="36"/>
      <c r="R40" s="36"/>
      <c r="S40" s="36"/>
    </row>
    <row r="41" spans="2:19" x14ac:dyDescent="0.25">
      <c r="B41" s="55"/>
      <c r="C41" s="8"/>
      <c r="D41" s="8"/>
      <c r="E41" s="61"/>
      <c r="F41" s="8"/>
      <c r="G41" s="8"/>
      <c r="H41" s="47"/>
      <c r="I41" s="10"/>
      <c r="J41" s="92"/>
      <c r="K41" s="13">
        <f t="shared" si="0"/>
        <v>0</v>
      </c>
      <c r="L41" s="36"/>
      <c r="M41" s="36"/>
      <c r="N41" s="36"/>
      <c r="O41" s="36"/>
      <c r="P41" s="36"/>
      <c r="Q41" s="36"/>
      <c r="R41" s="36"/>
      <c r="S41" s="36"/>
    </row>
    <row r="42" spans="2:19" x14ac:dyDescent="0.25">
      <c r="B42" s="55"/>
      <c r="C42" s="8"/>
      <c r="D42" s="8"/>
      <c r="E42" s="61"/>
      <c r="F42" s="8"/>
      <c r="G42" s="61"/>
      <c r="H42" s="47"/>
      <c r="I42" s="10"/>
      <c r="J42" s="92"/>
      <c r="K42" s="13">
        <f t="shared" ref="K42:K64" si="1">J42*$U$4</f>
        <v>0</v>
      </c>
      <c r="L42" s="36"/>
      <c r="M42" s="36"/>
      <c r="N42" s="36"/>
      <c r="O42" s="36"/>
      <c r="P42" s="36"/>
      <c r="Q42" s="36"/>
      <c r="R42" s="36"/>
      <c r="S42" s="36"/>
    </row>
    <row r="43" spans="2:19" x14ac:dyDescent="0.25">
      <c r="B43" s="55"/>
      <c r="C43" s="8"/>
      <c r="D43" s="8"/>
      <c r="E43" s="61"/>
      <c r="F43" s="8"/>
      <c r="G43" s="8"/>
      <c r="H43" s="47"/>
      <c r="I43" s="10"/>
      <c r="J43" s="92"/>
      <c r="K43" s="13">
        <f t="shared" si="1"/>
        <v>0</v>
      </c>
      <c r="L43" s="36"/>
      <c r="M43" s="36"/>
      <c r="N43" s="36"/>
      <c r="O43" s="36"/>
      <c r="P43" s="36"/>
      <c r="Q43" s="36"/>
      <c r="R43" s="36"/>
      <c r="S43" s="36"/>
    </row>
    <row r="44" spans="2:19" x14ac:dyDescent="0.25">
      <c r="B44" s="55"/>
      <c r="C44" s="8"/>
      <c r="D44" s="8"/>
      <c r="E44" s="61"/>
      <c r="F44" s="8"/>
      <c r="G44" s="8"/>
      <c r="H44" s="47"/>
      <c r="I44" s="10"/>
      <c r="J44" s="92"/>
      <c r="K44" s="13">
        <f t="shared" si="1"/>
        <v>0</v>
      </c>
      <c r="L44" s="36"/>
      <c r="M44" s="36"/>
      <c r="N44" s="36"/>
      <c r="O44" s="36"/>
      <c r="P44" s="36"/>
      <c r="Q44" s="36"/>
      <c r="R44" s="36"/>
      <c r="S44" s="36"/>
    </row>
    <row r="45" spans="2:19" x14ac:dyDescent="0.25">
      <c r="B45" s="55"/>
      <c r="C45" s="8"/>
      <c r="D45" s="8"/>
      <c r="E45" s="61"/>
      <c r="F45" s="8"/>
      <c r="G45" s="61"/>
      <c r="H45" s="47"/>
      <c r="I45" s="10"/>
      <c r="J45" s="92"/>
      <c r="K45" s="13">
        <f t="shared" si="1"/>
        <v>0</v>
      </c>
      <c r="L45" s="36"/>
      <c r="M45" s="36"/>
      <c r="N45" s="36"/>
      <c r="O45" s="36"/>
      <c r="P45" s="36"/>
      <c r="Q45" s="36"/>
      <c r="R45" s="36"/>
      <c r="S45" s="36"/>
    </row>
    <row r="46" spans="2:19" x14ac:dyDescent="0.25">
      <c r="B46" s="55"/>
      <c r="C46" s="8"/>
      <c r="D46" s="8"/>
      <c r="E46" s="61"/>
      <c r="F46" s="8"/>
      <c r="G46" s="8"/>
      <c r="H46" s="47"/>
      <c r="I46" s="10"/>
      <c r="J46" s="92"/>
      <c r="K46" s="13">
        <f t="shared" si="1"/>
        <v>0</v>
      </c>
      <c r="L46" s="36"/>
      <c r="M46" s="36"/>
      <c r="N46" s="36"/>
      <c r="O46" s="36"/>
      <c r="P46" s="36"/>
      <c r="Q46" s="36"/>
      <c r="R46" s="36"/>
      <c r="S46" s="36"/>
    </row>
    <row r="47" spans="2:19" x14ac:dyDescent="0.25">
      <c r="B47" s="55"/>
      <c r="C47" s="8"/>
      <c r="D47" s="8"/>
      <c r="E47" s="61"/>
      <c r="F47" s="8"/>
      <c r="G47" s="8"/>
      <c r="H47" s="47"/>
      <c r="I47" s="10"/>
      <c r="J47" s="92"/>
      <c r="K47" s="13">
        <f t="shared" si="1"/>
        <v>0</v>
      </c>
      <c r="L47" s="36"/>
      <c r="M47" s="36"/>
      <c r="N47" s="36"/>
      <c r="O47" s="36"/>
      <c r="P47" s="36"/>
      <c r="Q47" s="36"/>
      <c r="R47" s="36"/>
      <c r="S47" s="36"/>
    </row>
    <row r="48" spans="2:19" x14ac:dyDescent="0.25">
      <c r="B48" s="55"/>
      <c r="C48" s="8"/>
      <c r="D48" s="8"/>
      <c r="E48" s="61"/>
      <c r="F48" s="8"/>
      <c r="G48" s="8"/>
      <c r="H48" s="47"/>
      <c r="I48" s="10"/>
      <c r="J48" s="92"/>
      <c r="K48" s="13">
        <f t="shared" si="1"/>
        <v>0</v>
      </c>
      <c r="L48" s="36"/>
      <c r="M48" s="36"/>
      <c r="N48" s="36"/>
      <c r="O48" s="36"/>
      <c r="P48" s="36"/>
      <c r="Q48" s="36"/>
      <c r="R48" s="36"/>
      <c r="S48" s="36"/>
    </row>
    <row r="49" spans="2:19" x14ac:dyDescent="0.25">
      <c r="B49" s="55"/>
      <c r="C49" s="8"/>
      <c r="D49" s="8"/>
      <c r="E49" s="61"/>
      <c r="F49" s="8"/>
      <c r="G49" s="8"/>
      <c r="H49" s="47"/>
      <c r="I49" s="10"/>
      <c r="J49" s="92"/>
      <c r="K49" s="13">
        <f t="shared" si="1"/>
        <v>0</v>
      </c>
      <c r="L49" s="36"/>
      <c r="M49" s="36"/>
      <c r="N49" s="36"/>
      <c r="O49" s="36"/>
      <c r="P49" s="36"/>
      <c r="Q49" s="36"/>
      <c r="R49" s="36"/>
      <c r="S49" s="36"/>
    </row>
    <row r="50" spans="2:19" x14ac:dyDescent="0.25">
      <c r="B50" s="55"/>
      <c r="C50" s="8"/>
      <c r="D50" s="8"/>
      <c r="E50" s="61"/>
      <c r="F50" s="8"/>
      <c r="G50" s="61"/>
      <c r="H50" s="47"/>
      <c r="I50" s="10"/>
      <c r="J50" s="92"/>
      <c r="K50" s="13">
        <f t="shared" si="1"/>
        <v>0</v>
      </c>
      <c r="L50" s="36"/>
      <c r="M50" s="36"/>
      <c r="N50" s="36"/>
      <c r="O50" s="36"/>
      <c r="P50" s="36"/>
      <c r="Q50" s="36"/>
      <c r="R50" s="36"/>
      <c r="S50" s="36"/>
    </row>
    <row r="51" spans="2:19" x14ac:dyDescent="0.25">
      <c r="B51" s="55"/>
      <c r="C51" s="8"/>
      <c r="D51" s="8"/>
      <c r="E51" s="61"/>
      <c r="F51" s="8"/>
      <c r="G51" s="8"/>
      <c r="H51" s="47"/>
      <c r="I51" s="10"/>
      <c r="J51" s="92"/>
      <c r="K51" s="13">
        <f t="shared" si="1"/>
        <v>0</v>
      </c>
      <c r="L51" s="36"/>
      <c r="M51" s="36"/>
      <c r="N51" s="36"/>
      <c r="O51" s="36"/>
      <c r="P51" s="36"/>
      <c r="Q51" s="36"/>
      <c r="R51" s="36"/>
      <c r="S51" s="36"/>
    </row>
    <row r="52" spans="2:19" x14ac:dyDescent="0.25">
      <c r="B52" s="55"/>
      <c r="C52" s="8"/>
      <c r="D52" s="8"/>
      <c r="E52" s="61"/>
      <c r="F52" s="8"/>
      <c r="G52" s="8"/>
      <c r="H52" s="47"/>
      <c r="I52" s="10"/>
      <c r="J52" s="92"/>
      <c r="K52" s="13">
        <f t="shared" si="1"/>
        <v>0</v>
      </c>
      <c r="L52" s="36"/>
      <c r="M52" s="36"/>
      <c r="N52" s="36"/>
      <c r="O52" s="36"/>
      <c r="P52" s="36"/>
      <c r="Q52" s="36"/>
      <c r="R52" s="36"/>
      <c r="S52" s="36"/>
    </row>
    <row r="53" spans="2:19" x14ac:dyDescent="0.25">
      <c r="B53" s="86"/>
      <c r="C53" s="8"/>
      <c r="D53" s="83"/>
      <c r="E53" s="72"/>
      <c r="F53" s="55"/>
      <c r="G53" s="57"/>
      <c r="H53" s="84"/>
      <c r="I53" s="52"/>
      <c r="J53" s="92"/>
      <c r="K53" s="13">
        <f t="shared" si="1"/>
        <v>0</v>
      </c>
      <c r="L53" s="36"/>
      <c r="M53" s="36"/>
      <c r="N53" s="36"/>
      <c r="O53" s="36"/>
      <c r="P53" s="36"/>
      <c r="Q53" s="36"/>
      <c r="R53" s="36"/>
      <c r="S53" s="36"/>
    </row>
    <row r="54" spans="2:19" x14ac:dyDescent="0.25">
      <c r="B54" s="55"/>
      <c r="C54" s="8"/>
      <c r="D54" s="8"/>
      <c r="E54" s="87"/>
      <c r="F54" s="8"/>
      <c r="G54" s="8"/>
      <c r="H54" s="8"/>
      <c r="I54" s="8"/>
      <c r="J54" s="92"/>
      <c r="K54" s="13">
        <f t="shared" si="1"/>
        <v>0</v>
      </c>
      <c r="L54" s="36"/>
      <c r="M54" s="36"/>
      <c r="N54" s="36"/>
      <c r="O54" s="36"/>
      <c r="P54" s="36"/>
      <c r="Q54" s="36"/>
      <c r="R54" s="36"/>
      <c r="S54" s="36"/>
    </row>
    <row r="55" spans="2:19" x14ac:dyDescent="0.25">
      <c r="B55" s="55"/>
      <c r="C55" s="8"/>
      <c r="D55" s="8"/>
      <c r="E55" s="87"/>
      <c r="F55" s="8"/>
      <c r="G55" s="8"/>
      <c r="H55" s="8"/>
      <c r="I55" s="8"/>
      <c r="J55" s="92"/>
      <c r="K55" s="13">
        <f t="shared" si="1"/>
        <v>0</v>
      </c>
      <c r="L55" s="36"/>
      <c r="M55" s="36"/>
      <c r="N55" s="36"/>
      <c r="O55" s="36"/>
      <c r="P55" s="36"/>
      <c r="Q55" s="36"/>
      <c r="R55" s="36"/>
      <c r="S55" s="36"/>
    </row>
    <row r="56" spans="2:19" x14ac:dyDescent="0.25">
      <c r="B56" s="55"/>
      <c r="C56" s="8"/>
      <c r="D56" s="8"/>
      <c r="E56" s="87"/>
      <c r="F56" s="8"/>
      <c r="G56" s="61"/>
      <c r="H56" s="10"/>
      <c r="I56" s="58"/>
      <c r="J56" s="92"/>
      <c r="K56" s="13">
        <f t="shared" si="1"/>
        <v>0</v>
      </c>
      <c r="L56" s="36"/>
      <c r="M56" s="36"/>
      <c r="N56" s="36"/>
      <c r="O56" s="36"/>
      <c r="P56" s="36"/>
      <c r="Q56" s="36"/>
      <c r="R56" s="36"/>
      <c r="S56" s="36"/>
    </row>
    <row r="57" spans="2:19" x14ac:dyDescent="0.25">
      <c r="B57" s="55"/>
      <c r="C57" s="8"/>
      <c r="D57" s="8"/>
      <c r="E57" s="87"/>
      <c r="F57" s="8"/>
      <c r="G57" s="8"/>
      <c r="H57" s="8"/>
      <c r="I57" s="8"/>
      <c r="J57" s="92"/>
      <c r="K57" s="13">
        <f t="shared" si="1"/>
        <v>0</v>
      </c>
      <c r="L57" s="36"/>
      <c r="M57" s="36"/>
      <c r="N57" s="36"/>
      <c r="O57" s="36"/>
      <c r="P57" s="36"/>
      <c r="Q57" s="36"/>
      <c r="R57" s="36"/>
      <c r="S57" s="36"/>
    </row>
    <row r="58" spans="2:19" x14ac:dyDescent="0.25">
      <c r="B58" s="55"/>
      <c r="C58" s="8"/>
      <c r="D58" s="8"/>
      <c r="E58" s="87"/>
      <c r="F58" s="8"/>
      <c r="G58" s="8"/>
      <c r="H58" s="8"/>
      <c r="I58" s="8"/>
      <c r="J58" s="92"/>
      <c r="K58" s="13">
        <f t="shared" si="1"/>
        <v>0</v>
      </c>
      <c r="L58" s="36"/>
      <c r="M58" s="36"/>
      <c r="N58" s="36"/>
      <c r="O58" s="36"/>
      <c r="P58" s="36"/>
      <c r="Q58" s="36"/>
      <c r="R58" s="36"/>
      <c r="S58" s="36"/>
    </row>
    <row r="59" spans="2:19" x14ac:dyDescent="0.25">
      <c r="B59" s="55"/>
      <c r="C59" s="8"/>
      <c r="D59" s="8"/>
      <c r="E59" s="87"/>
      <c r="F59" s="8"/>
      <c r="G59" s="61"/>
      <c r="H59" s="10"/>
      <c r="I59" s="58"/>
      <c r="J59" s="92"/>
      <c r="K59" s="13">
        <f t="shared" si="1"/>
        <v>0</v>
      </c>
      <c r="L59" s="36"/>
      <c r="M59" s="36"/>
      <c r="N59" s="36"/>
      <c r="O59" s="36"/>
      <c r="P59" s="36"/>
      <c r="Q59" s="36"/>
      <c r="R59" s="36"/>
      <c r="S59" s="36"/>
    </row>
    <row r="60" spans="2:19" x14ac:dyDescent="0.25">
      <c r="B60" s="55"/>
      <c r="C60" s="8"/>
      <c r="D60" s="8"/>
      <c r="E60" s="55"/>
      <c r="F60" s="8"/>
      <c r="G60" s="8"/>
      <c r="H60" s="8"/>
      <c r="I60" s="8"/>
      <c r="J60" s="92"/>
      <c r="K60" s="13">
        <f t="shared" si="1"/>
        <v>0</v>
      </c>
      <c r="L60" s="36"/>
      <c r="M60" s="36"/>
      <c r="N60" s="36"/>
      <c r="O60" s="36"/>
      <c r="P60" s="36"/>
      <c r="Q60" s="36"/>
      <c r="R60" s="36"/>
      <c r="S60" s="36"/>
    </row>
    <row r="61" spans="2:19" x14ac:dyDescent="0.25">
      <c r="B61" s="55"/>
      <c r="C61" s="8"/>
      <c r="D61" s="8"/>
      <c r="E61" s="55"/>
      <c r="F61" s="8"/>
      <c r="G61" s="81"/>
      <c r="H61" s="8"/>
      <c r="I61" s="8"/>
      <c r="J61" s="92"/>
      <c r="K61" s="13">
        <f t="shared" si="1"/>
        <v>0</v>
      </c>
      <c r="L61" s="36"/>
      <c r="M61" s="36"/>
      <c r="N61" s="36"/>
      <c r="O61" s="36"/>
      <c r="P61" s="36"/>
      <c r="Q61" s="36"/>
      <c r="R61" s="36"/>
      <c r="S61" s="36"/>
    </row>
    <row r="62" spans="2:19" x14ac:dyDescent="0.25">
      <c r="B62" s="55"/>
      <c r="C62" s="8"/>
      <c r="D62" s="8"/>
      <c r="E62" s="55"/>
      <c r="F62" s="8"/>
      <c r="G62" s="61"/>
      <c r="H62" s="10"/>
      <c r="I62" s="58"/>
      <c r="J62" s="92"/>
      <c r="K62" s="13">
        <f t="shared" si="1"/>
        <v>0</v>
      </c>
      <c r="L62" s="36"/>
      <c r="M62" s="36"/>
      <c r="N62" s="36"/>
      <c r="O62" s="36"/>
      <c r="P62" s="36"/>
      <c r="Q62" s="36"/>
      <c r="R62" s="36"/>
      <c r="S62" s="36"/>
    </row>
    <row r="63" spans="2:19" x14ac:dyDescent="0.25">
      <c r="B63" s="55"/>
      <c r="C63" s="8"/>
      <c r="D63" s="8"/>
      <c r="E63" s="55"/>
      <c r="F63" s="8"/>
      <c r="G63" s="8"/>
      <c r="H63" s="8"/>
      <c r="I63" s="8"/>
      <c r="J63" s="92"/>
      <c r="K63" s="13">
        <f t="shared" si="1"/>
        <v>0</v>
      </c>
      <c r="L63" s="36"/>
      <c r="M63" s="36"/>
      <c r="N63" s="36"/>
      <c r="O63" s="36"/>
      <c r="P63" s="36"/>
      <c r="Q63" s="36"/>
      <c r="R63" s="36"/>
      <c r="S63" s="36"/>
    </row>
    <row r="64" spans="2:19" x14ac:dyDescent="0.25">
      <c r="B64" s="55"/>
      <c r="C64" s="8"/>
      <c r="D64" s="8"/>
      <c r="E64" s="55"/>
      <c r="F64" s="8"/>
      <c r="G64" s="8"/>
      <c r="H64" s="8"/>
      <c r="I64" s="8"/>
      <c r="J64" s="92"/>
      <c r="K64" s="13">
        <f t="shared" si="1"/>
        <v>0</v>
      </c>
      <c r="L64" s="36"/>
      <c r="M64" s="36"/>
      <c r="N64" s="36"/>
      <c r="O64" s="36"/>
      <c r="P64" s="36"/>
      <c r="Q64" s="36"/>
      <c r="R64" s="36"/>
      <c r="S64" s="36"/>
    </row>
    <row r="65" spans="6:11" x14ac:dyDescent="0.25">
      <c r="F65" t="s">
        <v>476</v>
      </c>
      <c r="J65" s="75">
        <f>SUM(J4:J64)</f>
        <v>1021.6200000000001</v>
      </c>
      <c r="K65" s="43">
        <f>SUM(K4:K64)</f>
        <v>3473.508</v>
      </c>
    </row>
    <row r="66" spans="9:9" x14ac:dyDescent="0.25">
      <c r="I66" s="53"/>
    </row>
    <row r="67" spans="9:9" x14ac:dyDescent="0.25">
      <c r="I67" s="54"/>
    </row>
    <row r="68" spans="9:9" x14ac:dyDescent="0.25">
      <c r="I68" s="53"/>
    </row>
    <row r="69" spans="9:9" x14ac:dyDescent="0.25">
      <c r="I69" s="54"/>
    </row>
    <row r="70" spans="9:9" x14ac:dyDescent="0.25">
      <c r="I70" s="53"/>
    </row>
    <row r="71" spans="9:9" x14ac:dyDescent="0.25">
      <c r="I71" s="54"/>
    </row>
    <row r="74" spans="9:9" x14ac:dyDescent="0.25">
      <c r="I74" s="53"/>
    </row>
    <row r="75" spans="9:9" x14ac:dyDescent="0.25">
      <c r="I75" s="54"/>
    </row>
    <row r="77" spans="9:9" x14ac:dyDescent="0.25">
      <c r="I77" s="53"/>
    </row>
    <row r="78" spans="9:9" x14ac:dyDescent="0.25">
      <c r="I78" s="54"/>
    </row>
    <row r="88" spans="12:12" x14ac:dyDescent="0.25">
      <c r="L88" s="53"/>
    </row>
    <row r="89" ht="15.75" customHeight="1" spans="2:11" x14ac:dyDescent="0.25">
      <c r="B89" s="51" t="s">
        <v>123</v>
      </c>
      <c r="C89" s="51"/>
      <c r="D89" s="51"/>
      <c r="E89" s="51"/>
      <c r="F89" s="51"/>
      <c r="G89" s="51"/>
      <c r="H89" s="51"/>
      <c r="I89" s="51"/>
      <c r="J89" s="51"/>
      <c r="K89" s="51"/>
    </row>
    <row r="90" spans="2:11" x14ac:dyDescent="0.25">
      <c r="B90" s="1" t="s">
        <v>0</v>
      </c>
      <c r="C90" s="1" t="s">
        <v>124</v>
      </c>
      <c r="D90" s="2" t="s">
        <v>61</v>
      </c>
      <c r="E90" s="2" t="s">
        <v>9</v>
      </c>
      <c r="F90" s="2" t="s">
        <v>10</v>
      </c>
      <c r="G90" s="2" t="s">
        <v>62</v>
      </c>
      <c r="H90" s="2" t="s">
        <v>11</v>
      </c>
      <c r="I90" s="2" t="s">
        <v>12</v>
      </c>
      <c r="J90" s="44" t="s">
        <v>64</v>
      </c>
      <c r="K90" s="45" t="s">
        <v>13</v>
      </c>
    </row>
    <row r="91" spans="2:11" x14ac:dyDescent="0.25">
      <c r="B91" s="36"/>
      <c r="C91" s="36"/>
      <c r="D91" s="36"/>
      <c r="E91" s="36"/>
      <c r="F91" s="36"/>
      <c r="G91" s="36"/>
      <c r="H91" s="36"/>
      <c r="I91" s="36"/>
      <c r="J91" s="36"/>
      <c r="K91" s="36"/>
    </row>
    <row r="92" spans="2:11" x14ac:dyDescent="0.25">
      <c r="B92" s="36"/>
      <c r="C92" s="36"/>
      <c r="D92" s="36"/>
      <c r="E92" s="36"/>
      <c r="F92" s="36"/>
      <c r="G92" s="36"/>
      <c r="H92" s="36"/>
      <c r="I92" s="36"/>
      <c r="J92" s="36"/>
      <c r="K92" s="36"/>
    </row>
    <row r="93" spans="2:11" x14ac:dyDescent="0.25">
      <c r="B93" s="36"/>
      <c r="C93" s="36"/>
      <c r="D93" s="36"/>
      <c r="E93" s="36"/>
      <c r="F93" s="36"/>
      <c r="G93" s="36"/>
      <c r="H93" s="36"/>
      <c r="I93" s="36"/>
      <c r="J93" s="36"/>
      <c r="K93" s="36"/>
    </row>
    <row r="94" spans="2:11" x14ac:dyDescent="0.25">
      <c r="B94" s="36"/>
      <c r="C94" s="36"/>
      <c r="D94" s="36"/>
      <c r="E94" s="36"/>
      <c r="F94" s="36"/>
      <c r="G94" s="36"/>
      <c r="H94" s="36"/>
      <c r="I94" s="36"/>
      <c r="J94" s="36"/>
      <c r="K94" s="36"/>
    </row>
    <row r="95" spans="2:11" x14ac:dyDescent="0.25">
      <c r="B95" s="36"/>
      <c r="C95" s="36"/>
      <c r="D95" s="36"/>
      <c r="E95" s="36"/>
      <c r="F95" s="36"/>
      <c r="G95" s="36"/>
      <c r="H95" s="36"/>
      <c r="I95" s="36"/>
      <c r="J95" s="36"/>
      <c r="K95" s="36"/>
    </row>
    <row r="96" spans="2:11" x14ac:dyDescent="0.25">
      <c r="B96" s="36"/>
      <c r="C96" s="36"/>
      <c r="D96" s="36"/>
      <c r="E96" s="36"/>
      <c r="F96" s="36"/>
      <c r="G96" s="36"/>
      <c r="H96" s="36"/>
      <c r="I96" s="36"/>
      <c r="J96" s="36"/>
      <c r="K96" s="36"/>
    </row>
    <row r="97" spans="2:11" x14ac:dyDescent="0.25">
      <c r="B97" s="36"/>
      <c r="C97" s="36"/>
      <c r="D97" s="36"/>
      <c r="E97" s="36"/>
      <c r="F97" s="36"/>
      <c r="G97" s="36"/>
      <c r="H97" s="36"/>
      <c r="I97" s="36"/>
      <c r="J97" s="36"/>
      <c r="K97" s="36"/>
    </row>
    <row r="98" spans="2:11" x14ac:dyDescent="0.25">
      <c r="B98" s="36"/>
      <c r="C98" s="36"/>
      <c r="D98" s="36"/>
      <c r="E98" s="36"/>
      <c r="F98" s="36"/>
      <c r="G98" s="36"/>
      <c r="H98" s="36"/>
      <c r="I98" s="36"/>
      <c r="J98" s="36"/>
      <c r="K98" s="36"/>
    </row>
    <row r="99" spans="2:11" x14ac:dyDescent="0.25">
      <c r="B99" s="36"/>
      <c r="C99" s="36"/>
      <c r="D99" s="36"/>
      <c r="E99" s="36"/>
      <c r="F99" s="36"/>
      <c r="G99" s="36"/>
      <c r="H99" s="36"/>
      <c r="I99" s="36"/>
      <c r="J99" s="36"/>
      <c r="K99" s="36"/>
    </row>
    <row r="100" spans="12:12" x14ac:dyDescent="0.25">
      <c r="L100" s="54"/>
    </row>
  </sheetData>
  <hyperlinks>
    <hyperlink ref="H4" r:id="rId1"/>
    <hyperlink ref="I4" r:id="rId2"/>
    <hyperlink ref="H5" r:id="rId3"/>
    <hyperlink ref="I5" r:id="rId4"/>
    <hyperlink ref="H6" r:id="rId5"/>
    <hyperlink ref="I6" r:id="rId6"/>
    <hyperlink ref="H7" r:id="rId7"/>
    <hyperlink ref="I7" r:id="rId8"/>
    <hyperlink ref="H8" r:id="rId9"/>
    <hyperlink ref="I8" r:id="rId10"/>
  </hyperlinks>
  <pageMargins left="0.7" right="0.7" top="0.75" bottom="0.75" header="0.3" footer="0.3"/>
  <pageSetup paperSize="9" orientation="portrait" horizontalDpi="360" verticalDpi="360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100"/>
  <sheetViews>
    <sheetView workbookViewId="0" zoomScale="70" zoomScaleNormal="70">
      <selection activeCell="G38" sqref="G38"/>
    </sheetView>
  </sheetViews>
  <sheetFormatPr defaultRowHeight="15" outlineLevelRow="0" outlineLevelCol="0" x14ac:dyDescent="0.25"/>
  <cols>
    <col min="1" max="1" width="9.42578125" customWidth="1"/>
    <col min="2" max="2" width="39.5703125" customWidth="1"/>
    <col min="3" max="3" width="15" customWidth="1"/>
    <col min="4" max="4" width="30.140625" customWidth="1"/>
    <col min="5" max="5" width="23.7109375" customWidth="1"/>
    <col min="6" max="6" width="27.5703125" customWidth="1"/>
    <col min="7" max="7" width="44.5703125" customWidth="1"/>
    <col min="8" max="8" width="41" customWidth="1"/>
    <col min="9" max="9" width="138.7109375" customWidth="1"/>
    <col min="10" max="10" width="23.5703125" customWidth="1"/>
    <col min="11" max="11" width="25.85546875" customWidth="1"/>
    <col min="12" max="12" width="24.85546875" customWidth="1"/>
    <col min="13" max="13" width="26.7109375" customWidth="1"/>
    <col min="14" max="14" width="22.85546875" customWidth="1"/>
    <col min="15" max="16" width="17.42578125" customWidth="1"/>
    <col min="17" max="17" width="13.42578125" customWidth="1"/>
    <col min="18" max="18" width="13" customWidth="1"/>
    <col min="19" max="19" width="18.28515625" customWidth="1"/>
    <col min="20" max="20" width="17.5703125" customWidth="1"/>
    <col min="21" max="21" width="19.140625" customWidth="1"/>
    <col min="23" max="23" width="21" customWidth="1"/>
  </cols>
  <sheetData>
    <row r="2" ht="15.75" customHeight="1" x14ac:dyDescent="0.25"/>
    <row r="3" ht="29.25" customHeight="1" spans="2:22" x14ac:dyDescent="0.25">
      <c r="B3" s="1" t="s">
        <v>0</v>
      </c>
      <c r="C3" s="2" t="s">
        <v>58</v>
      </c>
      <c r="D3" s="2" t="s">
        <v>59</v>
      </c>
      <c r="E3" s="2" t="s">
        <v>53</v>
      </c>
      <c r="F3" s="2" t="s">
        <v>3</v>
      </c>
      <c r="G3" s="2" t="s">
        <v>4</v>
      </c>
      <c r="H3" s="2" t="s">
        <v>60</v>
      </c>
      <c r="I3" s="2" t="s">
        <v>6</v>
      </c>
      <c r="J3" s="2" t="s">
        <v>7</v>
      </c>
      <c r="K3" s="2" t="s">
        <v>61</v>
      </c>
      <c r="L3" s="2" t="s">
        <v>9</v>
      </c>
      <c r="M3" s="2" t="s">
        <v>10</v>
      </c>
      <c r="N3" s="2" t="s">
        <v>62</v>
      </c>
      <c r="O3" s="2" t="s">
        <v>11</v>
      </c>
      <c r="P3" s="2" t="s">
        <v>12</v>
      </c>
      <c r="Q3" s="44" t="s">
        <v>64</v>
      </c>
      <c r="R3" s="45" t="s">
        <v>13</v>
      </c>
      <c r="S3" s="45" t="s">
        <v>65</v>
      </c>
      <c r="U3" s="4" t="s">
        <v>14</v>
      </c>
      <c r="V3">
        <v>3.4</v>
      </c>
    </row>
    <row r="4" ht="32.25" customHeight="1" spans="2:19" x14ac:dyDescent="0.25">
      <c r="B4" s="89" t="s">
        <v>690</v>
      </c>
      <c r="C4" s="85" t="s">
        <v>66</v>
      </c>
      <c r="D4" s="55" t="s">
        <v>66</v>
      </c>
      <c r="E4" s="89" t="s">
        <v>691</v>
      </c>
      <c r="F4" s="55" t="s">
        <v>16</v>
      </c>
      <c r="G4" s="57" t="s">
        <v>692</v>
      </c>
      <c r="H4" s="47" t="s">
        <v>278</v>
      </c>
      <c r="I4" s="47" t="s">
        <v>693</v>
      </c>
      <c r="J4" s="92">
        <v>90</v>
      </c>
      <c r="K4" s="13">
        <f>J4*$V$3</f>
        <v>306</v>
      </c>
      <c r="L4" s="36"/>
      <c r="M4" s="36"/>
      <c r="N4" s="36"/>
      <c r="O4" s="36"/>
      <c r="P4" s="36"/>
      <c r="Q4" s="36"/>
      <c r="R4" s="36"/>
      <c r="S4" s="36"/>
    </row>
    <row r="5" spans="2:19" x14ac:dyDescent="0.25">
      <c r="B5" s="89" t="s">
        <v>694</v>
      </c>
      <c r="C5" s="85" t="s">
        <v>66</v>
      </c>
      <c r="D5" s="55" t="s">
        <v>66</v>
      </c>
      <c r="E5" s="89" t="s">
        <v>695</v>
      </c>
      <c r="F5" s="55" t="s">
        <v>16</v>
      </c>
      <c r="G5" s="57" t="s">
        <v>696</v>
      </c>
      <c r="H5" s="47" t="s">
        <v>147</v>
      </c>
      <c r="I5" s="47" t="s">
        <v>697</v>
      </c>
      <c r="J5" s="92">
        <v>54.99</v>
      </c>
      <c r="K5" s="13">
        <f t="shared" ref="K5:K60" si="0">J5*$V$3</f>
        <v>186.966</v>
      </c>
      <c r="L5" s="36"/>
      <c r="M5" s="36"/>
      <c r="N5" s="36"/>
      <c r="O5" s="36"/>
      <c r="P5" s="36"/>
      <c r="Q5" s="36"/>
      <c r="R5" s="36"/>
      <c r="S5" s="36"/>
    </row>
    <row r="6" spans="2:19" x14ac:dyDescent="0.25">
      <c r="B6" s="89" t="s">
        <v>698</v>
      </c>
      <c r="C6" s="85" t="s">
        <v>66</v>
      </c>
      <c r="D6" s="55" t="s">
        <v>66</v>
      </c>
      <c r="E6" s="89" t="s">
        <v>699</v>
      </c>
      <c r="F6" s="55" t="s">
        <v>130</v>
      </c>
      <c r="G6" s="57" t="s">
        <v>700</v>
      </c>
      <c r="H6" s="47" t="s">
        <v>234</v>
      </c>
      <c r="I6" s="47" t="s">
        <v>701</v>
      </c>
      <c r="J6" s="92">
        <v>190</v>
      </c>
      <c r="K6" s="13">
        <f t="shared" si="0"/>
        <v>646</v>
      </c>
      <c r="L6" s="36"/>
      <c r="M6" s="36"/>
      <c r="N6" s="36"/>
      <c r="O6" s="36"/>
      <c r="P6" s="36"/>
      <c r="Q6" s="36"/>
      <c r="R6" s="36"/>
      <c r="S6" s="36"/>
    </row>
    <row r="7" ht="21" customHeight="1" spans="2:19" x14ac:dyDescent="0.25">
      <c r="B7" s="89" t="s">
        <v>702</v>
      </c>
      <c r="C7" s="85" t="s">
        <v>66</v>
      </c>
      <c r="D7" s="55" t="s">
        <v>66</v>
      </c>
      <c r="E7" s="89" t="s">
        <v>703</v>
      </c>
      <c r="F7" s="55" t="s">
        <v>130</v>
      </c>
      <c r="G7" s="9" t="s">
        <v>704</v>
      </c>
      <c r="H7" s="47" t="s">
        <v>705</v>
      </c>
      <c r="I7" s="47" t="s">
        <v>706</v>
      </c>
      <c r="J7" s="92">
        <v>99.99</v>
      </c>
      <c r="K7" s="13">
        <f t="shared" si="0"/>
        <v>339.96599999999995</v>
      </c>
      <c r="L7" s="36"/>
      <c r="M7" s="36"/>
      <c r="N7" s="36"/>
      <c r="O7" s="36"/>
      <c r="P7" s="36"/>
      <c r="Q7" s="36"/>
      <c r="R7" s="36"/>
      <c r="S7" s="36"/>
    </row>
    <row r="8" spans="2:19" x14ac:dyDescent="0.25">
      <c r="B8" s="89" t="s">
        <v>707</v>
      </c>
      <c r="C8" s="85" t="s">
        <v>66</v>
      </c>
      <c r="D8" s="55" t="s">
        <v>66</v>
      </c>
      <c r="E8" s="89" t="s">
        <v>708</v>
      </c>
      <c r="F8" s="8" t="s">
        <v>21</v>
      </c>
      <c r="G8" s="9" t="s">
        <v>709</v>
      </c>
      <c r="H8" s="47" t="s">
        <v>710</v>
      </c>
      <c r="I8" s="47" t="s">
        <v>711</v>
      </c>
      <c r="J8" s="92">
        <v>26</v>
      </c>
      <c r="K8" s="13">
        <f t="shared" si="0"/>
        <v>88.39999999999999</v>
      </c>
      <c r="L8" s="36"/>
      <c r="M8" s="36"/>
      <c r="N8" s="36"/>
      <c r="O8" s="36"/>
      <c r="P8" s="36"/>
      <c r="Q8" s="36"/>
      <c r="R8" s="36"/>
      <c r="S8" s="36"/>
    </row>
    <row r="9" spans="2:21" x14ac:dyDescent="0.25">
      <c r="B9" s="89" t="s">
        <v>712</v>
      </c>
      <c r="C9" s="85" t="s">
        <v>66</v>
      </c>
      <c r="D9" s="55" t="s">
        <v>66</v>
      </c>
      <c r="E9" s="89" t="s">
        <v>713</v>
      </c>
      <c r="F9" s="8" t="s">
        <v>21</v>
      </c>
      <c r="G9" s="9" t="s">
        <v>714</v>
      </c>
      <c r="H9" s="47" t="s">
        <v>715</v>
      </c>
      <c r="I9" s="47" t="s">
        <v>716</v>
      </c>
      <c r="J9" s="92">
        <v>50</v>
      </c>
      <c r="K9" s="13">
        <f t="shared" si="0"/>
        <v>170</v>
      </c>
      <c r="L9" s="13"/>
      <c r="M9" s="13"/>
      <c r="N9" s="13"/>
      <c r="O9" s="15"/>
      <c r="P9" s="8"/>
      <c r="Q9" s="46"/>
      <c r="R9" s="8"/>
      <c r="S9" s="36"/>
      <c r="U9" s="20"/>
    </row>
    <row r="10" spans="2:21" s="62" customFormat="1" x14ac:dyDescent="0.25">
      <c r="B10" s="89" t="s">
        <v>717</v>
      </c>
      <c r="C10" s="85" t="s">
        <v>66</v>
      </c>
      <c r="D10" s="55" t="s">
        <v>66</v>
      </c>
      <c r="E10" s="89" t="s">
        <v>718</v>
      </c>
      <c r="F10" s="8" t="s">
        <v>21</v>
      </c>
      <c r="G10" s="9" t="s">
        <v>719</v>
      </c>
      <c r="H10" s="47" t="s">
        <v>720</v>
      </c>
      <c r="I10" s="47" t="s">
        <v>721</v>
      </c>
      <c r="J10" s="92">
        <v>58.98</v>
      </c>
      <c r="K10" s="13">
        <f t="shared" si="0"/>
        <v>200.53199999999998</v>
      </c>
      <c r="L10" s="64"/>
      <c r="M10" s="64"/>
      <c r="N10" s="64"/>
      <c r="O10" s="15"/>
      <c r="P10" s="8"/>
      <c r="Q10" s="65"/>
      <c r="R10" s="66"/>
      <c r="S10" s="66"/>
      <c r="U10" s="20"/>
    </row>
    <row r="11" spans="2:21" x14ac:dyDescent="0.25">
      <c r="B11" s="89" t="s">
        <v>722</v>
      </c>
      <c r="C11" s="85" t="s">
        <v>66</v>
      </c>
      <c r="D11" s="55" t="s">
        <v>66</v>
      </c>
      <c r="E11" s="89" t="s">
        <v>723</v>
      </c>
      <c r="F11" s="55" t="s">
        <v>130</v>
      </c>
      <c r="G11" s="9" t="s">
        <v>724</v>
      </c>
      <c r="H11" s="47" t="s">
        <v>234</v>
      </c>
      <c r="I11" s="47" t="s">
        <v>725</v>
      </c>
      <c r="J11" s="92">
        <v>190</v>
      </c>
      <c r="K11" s="13">
        <f t="shared" si="0"/>
        <v>646</v>
      </c>
      <c r="L11" s="13"/>
      <c r="M11" s="13"/>
      <c r="N11" s="13"/>
      <c r="O11" s="15"/>
      <c r="P11" s="8"/>
      <c r="Q11" s="46"/>
      <c r="R11" s="36"/>
      <c r="S11" s="36"/>
      <c r="U11" s="24"/>
    </row>
    <row r="12" spans="2:21" x14ac:dyDescent="0.25">
      <c r="B12" s="89" t="s">
        <v>726</v>
      </c>
      <c r="C12" s="85" t="s">
        <v>66</v>
      </c>
      <c r="D12" s="55" t="s">
        <v>66</v>
      </c>
      <c r="E12" s="89" t="s">
        <v>727</v>
      </c>
      <c r="F12" s="55" t="s">
        <v>130</v>
      </c>
      <c r="G12" s="9" t="s">
        <v>728</v>
      </c>
      <c r="H12" s="47" t="s">
        <v>729</v>
      </c>
      <c r="I12" s="47" t="s">
        <v>730</v>
      </c>
      <c r="J12" s="92">
        <v>180.74</v>
      </c>
      <c r="K12" s="13">
        <f t="shared" si="0"/>
        <v>614.516</v>
      </c>
      <c r="L12" s="13"/>
      <c r="M12" s="13"/>
      <c r="N12" s="13"/>
      <c r="O12" s="15"/>
      <c r="P12" s="8"/>
      <c r="Q12" s="46"/>
      <c r="R12" s="36"/>
      <c r="S12" s="36"/>
      <c r="U12" s="23"/>
    </row>
    <row r="13" spans="2:21" x14ac:dyDescent="0.25">
      <c r="B13" s="55"/>
      <c r="C13" s="55"/>
      <c r="D13" s="55"/>
      <c r="E13" s="55"/>
      <c r="F13" s="55"/>
      <c r="G13" s="9"/>
      <c r="H13" s="47"/>
      <c r="I13" s="10"/>
      <c r="J13" s="92"/>
      <c r="K13" s="13">
        <f t="shared" si="0"/>
        <v>0</v>
      </c>
      <c r="L13" s="13"/>
      <c r="M13" s="13"/>
      <c r="N13" s="13"/>
      <c r="O13" s="15"/>
      <c r="P13" s="8"/>
      <c r="Q13" s="46"/>
      <c r="R13" s="36"/>
      <c r="S13" s="36"/>
      <c r="U13" s="20"/>
    </row>
    <row r="14" spans="2:21" x14ac:dyDescent="0.25">
      <c r="B14" s="55"/>
      <c r="C14" s="55"/>
      <c r="D14" s="55"/>
      <c r="E14" s="55"/>
      <c r="F14" s="55"/>
      <c r="G14" s="9"/>
      <c r="H14" s="47"/>
      <c r="I14" s="10"/>
      <c r="J14" s="92"/>
      <c r="K14" s="13">
        <f t="shared" si="0"/>
        <v>0</v>
      </c>
      <c r="L14" s="13"/>
      <c r="M14" s="13"/>
      <c r="N14" s="13"/>
      <c r="O14" s="15"/>
      <c r="P14" s="8"/>
      <c r="Q14" s="46"/>
      <c r="R14" s="36"/>
      <c r="S14" s="36"/>
      <c r="U14" s="20"/>
    </row>
    <row r="15" spans="2:21" x14ac:dyDescent="0.25">
      <c r="B15" s="55"/>
      <c r="C15" s="55"/>
      <c r="D15" s="55"/>
      <c r="E15" s="55"/>
      <c r="F15" s="55"/>
      <c r="G15" s="9"/>
      <c r="H15" s="47"/>
      <c r="I15" s="10"/>
      <c r="J15" s="92"/>
      <c r="K15" s="13">
        <f t="shared" si="0"/>
        <v>0</v>
      </c>
      <c r="L15" s="13"/>
      <c r="M15" s="13"/>
      <c r="N15" s="13"/>
      <c r="O15" s="15"/>
      <c r="P15" s="8"/>
      <c r="Q15" s="46"/>
      <c r="R15" s="36"/>
      <c r="S15" s="36"/>
      <c r="U15" s="40"/>
    </row>
    <row r="16" spans="2:21" x14ac:dyDescent="0.25">
      <c r="B16" s="55"/>
      <c r="C16" s="55"/>
      <c r="D16" s="55"/>
      <c r="E16" s="55"/>
      <c r="F16" s="55"/>
      <c r="G16" s="9"/>
      <c r="H16" s="47"/>
      <c r="I16" s="10"/>
      <c r="J16" s="92"/>
      <c r="K16" s="13">
        <f t="shared" si="0"/>
        <v>0</v>
      </c>
      <c r="L16" s="13"/>
      <c r="M16" s="13"/>
      <c r="N16" s="13"/>
      <c r="O16" s="15"/>
      <c r="P16" s="8"/>
      <c r="Q16" s="46"/>
      <c r="R16" s="36"/>
      <c r="S16" s="36"/>
      <c r="U16" s="23"/>
    </row>
    <row r="17" spans="2:19" x14ac:dyDescent="0.25">
      <c r="B17" s="55"/>
      <c r="C17" s="55"/>
      <c r="D17" s="55"/>
      <c r="E17" s="55"/>
      <c r="F17" s="55"/>
      <c r="G17" s="9"/>
      <c r="H17" s="47"/>
      <c r="I17" s="10"/>
      <c r="J17" s="92"/>
      <c r="K17" s="13">
        <f t="shared" si="0"/>
        <v>0</v>
      </c>
      <c r="L17" s="13"/>
      <c r="M17" s="13"/>
      <c r="N17" s="13"/>
      <c r="O17" s="15"/>
      <c r="P17" s="8"/>
      <c r="Q17" s="46"/>
      <c r="R17" s="36"/>
      <c r="S17" s="36"/>
    </row>
    <row r="18" spans="2:19" x14ac:dyDescent="0.25">
      <c r="B18" s="55"/>
      <c r="C18" s="55"/>
      <c r="D18" s="55"/>
      <c r="E18" s="55"/>
      <c r="F18" s="55"/>
      <c r="G18" s="9"/>
      <c r="H18" s="57"/>
      <c r="I18" s="10"/>
      <c r="J18" s="92"/>
      <c r="K18" s="13">
        <f t="shared" si="0"/>
        <v>0</v>
      </c>
      <c r="L18" s="13"/>
      <c r="M18" s="13"/>
      <c r="N18" s="13"/>
      <c r="O18" s="15"/>
      <c r="P18" s="8"/>
      <c r="Q18" s="46"/>
      <c r="R18" s="36"/>
      <c r="S18" s="36"/>
    </row>
    <row r="19" spans="2:19" x14ac:dyDescent="0.25">
      <c r="B19" s="55"/>
      <c r="C19" s="55"/>
      <c r="D19" s="55"/>
      <c r="E19" s="55"/>
      <c r="F19" s="55"/>
      <c r="G19" s="9"/>
      <c r="H19" s="47"/>
      <c r="I19" s="10"/>
      <c r="J19" s="92"/>
      <c r="K19" s="13">
        <f t="shared" si="0"/>
        <v>0</v>
      </c>
      <c r="L19" s="13"/>
      <c r="M19" s="13"/>
      <c r="N19" s="13"/>
      <c r="O19" s="15"/>
      <c r="P19" s="8"/>
      <c r="Q19" s="46"/>
      <c r="R19" s="36"/>
      <c r="S19" s="36"/>
    </row>
    <row r="20" spans="2:19" x14ac:dyDescent="0.25">
      <c r="B20" s="55"/>
      <c r="C20" s="8"/>
      <c r="D20" s="8"/>
      <c r="E20" s="61"/>
      <c r="F20" s="8"/>
      <c r="G20" s="9"/>
      <c r="H20" s="47"/>
      <c r="I20" s="10"/>
      <c r="J20" s="92"/>
      <c r="K20" s="13">
        <f t="shared" si="0"/>
        <v>0</v>
      </c>
      <c r="L20" s="13"/>
      <c r="M20" s="13"/>
      <c r="N20" s="13"/>
      <c r="O20" s="15"/>
      <c r="P20" s="8"/>
      <c r="Q20" s="46"/>
      <c r="R20" s="36"/>
      <c r="S20" s="36"/>
    </row>
    <row r="21" spans="2:19" x14ac:dyDescent="0.25">
      <c r="B21" s="55"/>
      <c r="C21" s="8"/>
      <c r="D21" s="8"/>
      <c r="E21" s="61"/>
      <c r="F21" s="8"/>
      <c r="G21" s="9"/>
      <c r="H21" s="47"/>
      <c r="I21" s="10"/>
      <c r="J21" s="92"/>
      <c r="K21" s="13">
        <f t="shared" si="0"/>
        <v>0</v>
      </c>
      <c r="L21" s="13"/>
      <c r="M21" s="13"/>
      <c r="N21" s="13"/>
      <c r="O21" s="15">
        <f>L21-K16-N21</f>
        <v>0</v>
      </c>
      <c r="P21" s="8"/>
      <c r="Q21" s="46"/>
      <c r="R21" s="36"/>
      <c r="S21" s="36"/>
    </row>
    <row r="22" spans="2:19" x14ac:dyDescent="0.25">
      <c r="B22" s="55"/>
      <c r="C22" s="8"/>
      <c r="D22" s="8"/>
      <c r="E22" s="61"/>
      <c r="F22" s="8"/>
      <c r="G22" s="9"/>
      <c r="H22" s="47"/>
      <c r="I22" s="10"/>
      <c r="J22" s="92"/>
      <c r="K22" s="13">
        <f t="shared" si="0"/>
        <v>0</v>
      </c>
      <c r="L22" s="13"/>
      <c r="M22" s="13"/>
      <c r="N22" s="13"/>
      <c r="O22" s="15">
        <f>L22-K17-N22</f>
        <v>0</v>
      </c>
      <c r="P22" s="8"/>
      <c r="Q22" s="46"/>
      <c r="R22" s="36"/>
      <c r="S22" s="36"/>
    </row>
    <row r="23" spans="2:19" x14ac:dyDescent="0.25">
      <c r="B23" s="55"/>
      <c r="C23" s="8"/>
      <c r="D23" s="8"/>
      <c r="E23" s="61"/>
      <c r="F23" s="8"/>
      <c r="G23" s="9"/>
      <c r="H23" s="47"/>
      <c r="I23" s="10"/>
      <c r="J23" s="92"/>
      <c r="K23" s="13">
        <f t="shared" si="0"/>
        <v>0</v>
      </c>
      <c r="L23" s="13"/>
      <c r="M23" s="13"/>
      <c r="N23" s="13"/>
      <c r="O23" s="15">
        <f>L23-K18-N23</f>
        <v>0</v>
      </c>
      <c r="P23" s="8"/>
      <c r="Q23" s="46"/>
      <c r="R23" s="36"/>
      <c r="S23" s="36"/>
    </row>
    <row r="24" spans="2:19" x14ac:dyDescent="0.25">
      <c r="B24" s="55"/>
      <c r="C24" s="8"/>
      <c r="D24" s="8"/>
      <c r="E24" s="61"/>
      <c r="F24" s="8"/>
      <c r="G24" s="9"/>
      <c r="H24" s="47"/>
      <c r="I24" s="10"/>
      <c r="J24" s="92"/>
      <c r="K24" s="13">
        <f t="shared" si="0"/>
        <v>0</v>
      </c>
      <c r="L24" s="36"/>
      <c r="M24" s="67"/>
      <c r="N24" s="67">
        <f>SUM(L4:L23)</f>
        <v>0</v>
      </c>
      <c r="O24" s="36"/>
      <c r="P24" s="36"/>
      <c r="Q24" s="67">
        <f>SUM(O4:O23)</f>
        <v>0</v>
      </c>
      <c r="R24" s="36"/>
      <c r="S24" s="36"/>
    </row>
    <row r="25" spans="2:19" x14ac:dyDescent="0.25">
      <c r="B25" s="55"/>
      <c r="C25" s="8"/>
      <c r="D25" s="8"/>
      <c r="E25" s="61"/>
      <c r="F25" s="8"/>
      <c r="G25" s="9"/>
      <c r="H25" s="47"/>
      <c r="I25" s="10"/>
      <c r="J25" s="92"/>
      <c r="K25" s="13">
        <f t="shared" si="0"/>
        <v>0</v>
      </c>
      <c r="L25" s="36"/>
      <c r="M25" s="36"/>
      <c r="N25" s="36"/>
      <c r="O25" s="36"/>
      <c r="P25" s="36"/>
      <c r="Q25" s="36"/>
      <c r="R25" s="36"/>
      <c r="S25" s="36"/>
    </row>
    <row r="26" spans="2:19" x14ac:dyDescent="0.25">
      <c r="B26" s="55"/>
      <c r="C26" s="8"/>
      <c r="D26" s="8"/>
      <c r="E26" s="61"/>
      <c r="F26" s="8"/>
      <c r="G26" s="9"/>
      <c r="H26" s="47"/>
      <c r="I26" s="10"/>
      <c r="J26" s="92"/>
      <c r="K26" s="13">
        <f t="shared" si="0"/>
        <v>0</v>
      </c>
      <c r="L26" s="36"/>
      <c r="M26" s="36"/>
      <c r="N26" s="36"/>
      <c r="O26" s="36"/>
      <c r="P26" s="36"/>
      <c r="Q26" s="36"/>
      <c r="R26" s="36"/>
      <c r="S26" s="36"/>
    </row>
    <row r="27" ht="29.25" customHeight="1" spans="2:19" x14ac:dyDescent="0.25">
      <c r="B27" s="55"/>
      <c r="C27" s="8"/>
      <c r="D27" s="8"/>
      <c r="E27" s="61"/>
      <c r="F27" s="8"/>
      <c r="G27" s="8"/>
      <c r="H27" s="47"/>
      <c r="I27" s="10"/>
      <c r="J27" s="92"/>
      <c r="K27" s="13">
        <f t="shared" si="0"/>
        <v>0</v>
      </c>
      <c r="L27" s="36"/>
      <c r="M27" s="36"/>
      <c r="N27" s="36"/>
      <c r="O27" s="36"/>
      <c r="P27" s="36"/>
      <c r="Q27" s="36"/>
      <c r="R27" s="36"/>
      <c r="S27" s="36"/>
    </row>
    <row r="28" spans="2:19" x14ac:dyDescent="0.25">
      <c r="B28" s="55"/>
      <c r="C28" s="8"/>
      <c r="D28" s="8"/>
      <c r="E28" s="61"/>
      <c r="F28" s="8"/>
      <c r="G28" s="61"/>
      <c r="H28" s="47"/>
      <c r="I28" s="10"/>
      <c r="J28" s="92"/>
      <c r="K28" s="13">
        <f t="shared" si="0"/>
        <v>0</v>
      </c>
      <c r="L28" s="36"/>
      <c r="M28" s="36"/>
      <c r="N28" s="36"/>
      <c r="O28" s="36"/>
      <c r="P28" s="36"/>
      <c r="Q28" s="36"/>
      <c r="R28" s="36"/>
      <c r="S28" s="36"/>
    </row>
    <row r="29" spans="2:19" x14ac:dyDescent="0.25">
      <c r="B29" s="55"/>
      <c r="C29" s="8"/>
      <c r="D29" s="8"/>
      <c r="E29" s="61"/>
      <c r="F29" s="8"/>
      <c r="G29" s="8"/>
      <c r="H29" s="47"/>
      <c r="I29" s="10"/>
      <c r="J29" s="92"/>
      <c r="K29" s="13">
        <f t="shared" si="0"/>
        <v>0</v>
      </c>
      <c r="L29" s="36"/>
      <c r="M29" s="36"/>
      <c r="N29" s="36"/>
      <c r="O29" s="36"/>
      <c r="P29" s="36"/>
      <c r="Q29" s="36"/>
      <c r="R29" s="36"/>
      <c r="S29" s="36"/>
    </row>
    <row r="30" spans="2:19" x14ac:dyDescent="0.25">
      <c r="B30" s="55"/>
      <c r="C30" s="8"/>
      <c r="D30" s="8"/>
      <c r="E30" s="61"/>
      <c r="F30" s="8"/>
      <c r="G30" s="8"/>
      <c r="H30" s="47"/>
      <c r="I30" s="10"/>
      <c r="J30" s="92"/>
      <c r="K30" s="13">
        <f t="shared" si="0"/>
        <v>0</v>
      </c>
      <c r="L30" s="36"/>
      <c r="M30" s="36"/>
      <c r="N30" s="36"/>
      <c r="O30" s="36"/>
      <c r="P30" s="36"/>
      <c r="Q30" s="36"/>
      <c r="R30" s="36"/>
      <c r="S30" s="36"/>
    </row>
    <row r="31" ht="30.75" customHeight="1" spans="2:19" x14ac:dyDescent="0.25">
      <c r="B31" s="55"/>
      <c r="C31" s="8"/>
      <c r="D31" s="8"/>
      <c r="E31" s="61"/>
      <c r="F31" s="8"/>
      <c r="G31" s="61"/>
      <c r="H31" s="47"/>
      <c r="I31" s="10"/>
      <c r="J31" s="92"/>
      <c r="K31" s="13">
        <f t="shared" si="0"/>
        <v>0</v>
      </c>
      <c r="L31" s="36"/>
      <c r="M31" s="36"/>
      <c r="N31" s="36"/>
      <c r="O31" s="36"/>
      <c r="P31" s="36"/>
      <c r="Q31" s="36"/>
      <c r="R31" s="36"/>
      <c r="S31" s="36"/>
    </row>
    <row r="32" spans="2:19" x14ac:dyDescent="0.25">
      <c r="B32" s="55"/>
      <c r="C32" s="8"/>
      <c r="D32" s="8"/>
      <c r="E32" s="61"/>
      <c r="F32" s="8"/>
      <c r="G32" s="8"/>
      <c r="H32" s="47"/>
      <c r="I32" s="10"/>
      <c r="J32" s="92"/>
      <c r="K32" s="13">
        <f t="shared" si="0"/>
        <v>0</v>
      </c>
      <c r="L32" s="36"/>
      <c r="M32" s="36"/>
      <c r="N32" s="36"/>
      <c r="O32" s="36"/>
      <c r="P32" s="36"/>
      <c r="Q32" s="36"/>
      <c r="R32" s="36"/>
      <c r="S32" s="36"/>
    </row>
    <row r="33" spans="2:19" x14ac:dyDescent="0.25">
      <c r="B33" s="55"/>
      <c r="C33" s="8"/>
      <c r="D33" s="8"/>
      <c r="E33" s="61"/>
      <c r="F33" s="8"/>
      <c r="G33" s="8"/>
      <c r="H33" s="47"/>
      <c r="I33" s="10"/>
      <c r="J33" s="92"/>
      <c r="K33" s="13">
        <f t="shared" si="0"/>
        <v>0</v>
      </c>
      <c r="L33" s="36"/>
      <c r="M33" s="36"/>
      <c r="N33" s="36"/>
      <c r="O33" s="36"/>
      <c r="P33" s="36"/>
      <c r="Q33" s="36"/>
      <c r="R33" s="36"/>
      <c r="S33" s="36"/>
    </row>
    <row r="34" spans="2:19" x14ac:dyDescent="0.25">
      <c r="B34" s="55"/>
      <c r="C34" s="8"/>
      <c r="D34" s="8"/>
      <c r="E34" s="61"/>
      <c r="F34" s="8"/>
      <c r="G34" s="61"/>
      <c r="H34" s="47"/>
      <c r="I34" s="10"/>
      <c r="J34" s="92"/>
      <c r="K34" s="13">
        <f t="shared" si="0"/>
        <v>0</v>
      </c>
      <c r="L34" s="36"/>
      <c r="M34" s="36"/>
      <c r="N34" s="36"/>
      <c r="O34" s="36"/>
      <c r="P34" s="36"/>
      <c r="Q34" s="36"/>
      <c r="R34" s="36"/>
      <c r="S34" s="36"/>
    </row>
    <row r="35" spans="2:19" x14ac:dyDescent="0.25">
      <c r="B35" s="55"/>
      <c r="C35" s="8"/>
      <c r="D35" s="8"/>
      <c r="E35" s="61"/>
      <c r="F35" s="8"/>
      <c r="G35" s="8"/>
      <c r="H35" s="47"/>
      <c r="I35" s="10"/>
      <c r="J35" s="92"/>
      <c r="K35" s="13">
        <f t="shared" si="0"/>
        <v>0</v>
      </c>
      <c r="L35" s="36"/>
      <c r="M35" s="36"/>
      <c r="N35" s="36"/>
      <c r="O35" s="36"/>
      <c r="P35" s="36"/>
      <c r="Q35" s="36"/>
      <c r="R35" s="36"/>
      <c r="S35" s="36"/>
    </row>
    <row r="36" spans="2:19" x14ac:dyDescent="0.25">
      <c r="B36" s="55"/>
      <c r="C36" s="8"/>
      <c r="D36" s="8"/>
      <c r="E36" s="61"/>
      <c r="F36" s="8"/>
      <c r="G36" s="8"/>
      <c r="H36" s="47"/>
      <c r="I36" s="10"/>
      <c r="J36" s="92"/>
      <c r="K36" s="13">
        <f t="shared" si="0"/>
        <v>0</v>
      </c>
      <c r="L36" s="36"/>
      <c r="M36" s="36"/>
      <c r="N36" s="36"/>
      <c r="O36" s="36"/>
      <c r="P36" s="36"/>
      <c r="Q36" s="36"/>
      <c r="R36" s="36"/>
      <c r="S36" s="36"/>
    </row>
    <row r="37" spans="2:19" x14ac:dyDescent="0.25">
      <c r="B37" s="55"/>
      <c r="C37" s="8"/>
      <c r="D37" s="8"/>
      <c r="E37" s="61"/>
      <c r="F37" s="8"/>
      <c r="G37" s="61"/>
      <c r="H37" s="47"/>
      <c r="I37" s="10"/>
      <c r="J37" s="92"/>
      <c r="K37" s="13">
        <f t="shared" si="0"/>
        <v>0</v>
      </c>
      <c r="L37" s="36"/>
      <c r="M37" s="36"/>
      <c r="N37" s="36"/>
      <c r="O37" s="36"/>
      <c r="P37" s="36"/>
      <c r="Q37" s="36"/>
      <c r="R37" s="36"/>
      <c r="S37" s="36"/>
    </row>
    <row r="38" spans="2:19" x14ac:dyDescent="0.25">
      <c r="B38" s="55"/>
      <c r="C38" s="8"/>
      <c r="D38" s="8"/>
      <c r="E38" s="61"/>
      <c r="F38" s="8"/>
      <c r="G38" s="8"/>
      <c r="H38" s="47"/>
      <c r="I38" s="10"/>
      <c r="J38" s="92"/>
      <c r="K38" s="13">
        <f t="shared" si="0"/>
        <v>0</v>
      </c>
      <c r="L38" s="36"/>
      <c r="M38" s="36"/>
      <c r="N38" s="36"/>
      <c r="O38" s="36"/>
      <c r="P38" s="36"/>
      <c r="Q38" s="36"/>
      <c r="R38" s="36"/>
      <c r="S38" s="36"/>
    </row>
    <row r="39" spans="2:19" x14ac:dyDescent="0.25">
      <c r="B39" s="55"/>
      <c r="C39" s="8"/>
      <c r="D39" s="8"/>
      <c r="E39" s="61"/>
      <c r="F39" s="8"/>
      <c r="G39" s="8"/>
      <c r="H39" s="47"/>
      <c r="I39" s="10"/>
      <c r="J39" s="92"/>
      <c r="K39" s="13">
        <f t="shared" si="0"/>
        <v>0</v>
      </c>
      <c r="L39" s="36"/>
      <c r="M39" s="36"/>
      <c r="N39" s="36"/>
      <c r="O39" s="36"/>
      <c r="P39" s="36"/>
      <c r="Q39" s="36"/>
      <c r="R39" s="36"/>
      <c r="S39" s="36"/>
    </row>
    <row r="40" spans="2:19" x14ac:dyDescent="0.25">
      <c r="B40" s="55"/>
      <c r="C40" s="8"/>
      <c r="D40" s="8"/>
      <c r="E40" s="61"/>
      <c r="F40" s="8"/>
      <c r="G40" s="61"/>
      <c r="H40" s="47"/>
      <c r="I40" s="10"/>
      <c r="J40" s="92"/>
      <c r="K40" s="13">
        <f t="shared" si="0"/>
        <v>0</v>
      </c>
      <c r="L40" s="36"/>
      <c r="M40" s="36"/>
      <c r="N40" s="36"/>
      <c r="O40" s="36"/>
      <c r="P40" s="36"/>
      <c r="Q40" s="36"/>
      <c r="R40" s="36"/>
      <c r="S40" s="36"/>
    </row>
    <row r="41" spans="2:19" x14ac:dyDescent="0.25">
      <c r="B41" s="55"/>
      <c r="C41" s="8"/>
      <c r="D41" s="8"/>
      <c r="E41" s="61"/>
      <c r="F41" s="8"/>
      <c r="G41" s="8"/>
      <c r="H41" s="47"/>
      <c r="I41" s="10"/>
      <c r="J41" s="92"/>
      <c r="K41" s="13">
        <f t="shared" si="0"/>
        <v>0</v>
      </c>
      <c r="L41" s="36"/>
      <c r="M41" s="36"/>
      <c r="N41" s="36"/>
      <c r="O41" s="36"/>
      <c r="P41" s="36"/>
      <c r="Q41" s="36"/>
      <c r="R41" s="36"/>
      <c r="S41" s="36"/>
    </row>
    <row r="42" spans="2:19" x14ac:dyDescent="0.25">
      <c r="B42" s="55"/>
      <c r="C42" s="8"/>
      <c r="D42" s="8"/>
      <c r="E42" s="61"/>
      <c r="F42" s="8"/>
      <c r="G42" s="8"/>
      <c r="H42" s="47"/>
      <c r="I42" s="10"/>
      <c r="J42" s="92"/>
      <c r="K42" s="13">
        <f t="shared" si="0"/>
        <v>0</v>
      </c>
      <c r="L42" s="36"/>
      <c r="M42" s="36"/>
      <c r="N42" s="36"/>
      <c r="O42" s="36"/>
      <c r="P42" s="36"/>
      <c r="Q42" s="36"/>
      <c r="R42" s="36"/>
      <c r="S42" s="36"/>
    </row>
    <row r="43" spans="2:19" x14ac:dyDescent="0.25">
      <c r="B43" s="55"/>
      <c r="C43" s="8"/>
      <c r="D43" s="8"/>
      <c r="E43" s="61"/>
      <c r="F43" s="8"/>
      <c r="G43" s="8"/>
      <c r="H43" s="47"/>
      <c r="I43" s="10"/>
      <c r="J43" s="92"/>
      <c r="K43" s="13">
        <f t="shared" si="0"/>
        <v>0</v>
      </c>
      <c r="L43" s="36"/>
      <c r="M43" s="36"/>
      <c r="N43" s="36"/>
      <c r="O43" s="36"/>
      <c r="P43" s="36"/>
      <c r="Q43" s="36"/>
      <c r="R43" s="36"/>
      <c r="S43" s="36"/>
    </row>
    <row r="44" spans="2:19" x14ac:dyDescent="0.25">
      <c r="B44" s="55"/>
      <c r="C44" s="8"/>
      <c r="D44" s="8"/>
      <c r="E44" s="61"/>
      <c r="F44" s="8"/>
      <c r="G44" s="8"/>
      <c r="H44" s="47"/>
      <c r="I44" s="10"/>
      <c r="J44" s="92"/>
      <c r="K44" s="13">
        <f t="shared" si="0"/>
        <v>0</v>
      </c>
      <c r="L44" s="36"/>
      <c r="M44" s="36"/>
      <c r="N44" s="36"/>
      <c r="O44" s="36"/>
      <c r="P44" s="36"/>
      <c r="Q44" s="36"/>
      <c r="R44" s="36"/>
      <c r="S44" s="36"/>
    </row>
    <row r="45" spans="2:19" x14ac:dyDescent="0.25">
      <c r="B45" s="55"/>
      <c r="C45" s="8"/>
      <c r="D45" s="8"/>
      <c r="E45" s="61"/>
      <c r="F45" s="8"/>
      <c r="G45" s="61"/>
      <c r="H45" s="47"/>
      <c r="I45" s="10"/>
      <c r="J45" s="92"/>
      <c r="K45" s="13">
        <f t="shared" si="0"/>
        <v>0</v>
      </c>
      <c r="L45" s="36"/>
      <c r="M45" s="36"/>
      <c r="N45" s="36"/>
      <c r="O45" s="36"/>
      <c r="P45" s="36"/>
      <c r="Q45" s="36"/>
      <c r="R45" s="36"/>
      <c r="S45" s="36"/>
    </row>
    <row r="46" spans="2:19" x14ac:dyDescent="0.25">
      <c r="B46" s="55"/>
      <c r="C46" s="8"/>
      <c r="D46" s="8"/>
      <c r="E46" s="61"/>
      <c r="F46" s="8"/>
      <c r="G46" s="8"/>
      <c r="H46" s="47"/>
      <c r="I46" s="10"/>
      <c r="J46" s="92"/>
      <c r="K46" s="13">
        <f t="shared" si="0"/>
        <v>0</v>
      </c>
      <c r="L46" s="36"/>
      <c r="M46" s="36"/>
      <c r="N46" s="36"/>
      <c r="O46" s="36"/>
      <c r="P46" s="36"/>
      <c r="Q46" s="36"/>
      <c r="R46" s="36"/>
      <c r="S46" s="36"/>
    </row>
    <row r="47" spans="2:19" x14ac:dyDescent="0.25">
      <c r="B47" s="55"/>
      <c r="C47" s="8"/>
      <c r="D47" s="8"/>
      <c r="E47" s="61"/>
      <c r="F47" s="8"/>
      <c r="G47" s="8"/>
      <c r="H47" s="47"/>
      <c r="I47" s="10"/>
      <c r="J47" s="92"/>
      <c r="K47" s="13">
        <f t="shared" si="0"/>
        <v>0</v>
      </c>
      <c r="L47" s="36"/>
      <c r="M47" s="36"/>
      <c r="N47" s="36"/>
      <c r="O47" s="36"/>
      <c r="P47" s="36"/>
      <c r="Q47" s="36"/>
      <c r="R47" s="36"/>
      <c r="S47" s="36"/>
    </row>
    <row r="48" spans="2:19" x14ac:dyDescent="0.25">
      <c r="B48" s="86"/>
      <c r="C48" s="8"/>
      <c r="D48" s="83"/>
      <c r="E48" s="72"/>
      <c r="F48" s="55"/>
      <c r="G48" s="57"/>
      <c r="H48" s="84"/>
      <c r="I48" s="52"/>
      <c r="J48" s="92"/>
      <c r="K48" s="13">
        <f t="shared" si="0"/>
        <v>0</v>
      </c>
      <c r="L48" s="36"/>
      <c r="M48" s="36"/>
      <c r="N48" s="36"/>
      <c r="O48" s="36"/>
      <c r="P48" s="36"/>
      <c r="Q48" s="36"/>
      <c r="R48" s="36"/>
      <c r="S48" s="36"/>
    </row>
    <row r="49" spans="2:19" x14ac:dyDescent="0.25">
      <c r="B49" s="55"/>
      <c r="C49" s="8"/>
      <c r="D49" s="8"/>
      <c r="E49" s="87"/>
      <c r="F49" s="8"/>
      <c r="H49" s="8"/>
      <c r="I49" s="8"/>
      <c r="J49" s="92"/>
      <c r="K49" s="13">
        <f t="shared" si="0"/>
        <v>0</v>
      </c>
      <c r="L49" s="36"/>
      <c r="M49" s="36"/>
      <c r="N49" s="36"/>
      <c r="O49" s="36"/>
      <c r="P49" s="36"/>
      <c r="Q49" s="36"/>
      <c r="R49" s="36"/>
      <c r="S49" s="36"/>
    </row>
    <row r="50" spans="2:19" x14ac:dyDescent="0.25">
      <c r="B50" s="55"/>
      <c r="C50" s="8"/>
      <c r="D50" s="8"/>
      <c r="E50" s="87"/>
      <c r="F50" s="8"/>
      <c r="G50" s="8"/>
      <c r="H50" s="8"/>
      <c r="I50" s="8"/>
      <c r="J50" s="92"/>
      <c r="K50" s="13">
        <f t="shared" si="0"/>
        <v>0</v>
      </c>
      <c r="L50" s="36"/>
      <c r="M50" s="36"/>
      <c r="N50" s="36"/>
      <c r="O50" s="36"/>
      <c r="P50" s="36"/>
      <c r="Q50" s="36"/>
      <c r="R50" s="36"/>
      <c r="S50" s="36"/>
    </row>
    <row r="51" spans="2:19" x14ac:dyDescent="0.25">
      <c r="B51" s="55"/>
      <c r="C51" s="8"/>
      <c r="D51" s="8"/>
      <c r="E51" s="87"/>
      <c r="F51" s="8"/>
      <c r="G51" s="61"/>
      <c r="H51" s="10"/>
      <c r="I51" s="58"/>
      <c r="J51" s="92"/>
      <c r="K51" s="13">
        <f t="shared" si="0"/>
        <v>0</v>
      </c>
      <c r="L51" s="36"/>
      <c r="M51" s="36"/>
      <c r="N51" s="36"/>
      <c r="O51" s="36"/>
      <c r="P51" s="36"/>
      <c r="Q51" s="36"/>
      <c r="R51" s="36"/>
      <c r="S51" s="36"/>
    </row>
    <row r="52" spans="2:19" x14ac:dyDescent="0.25">
      <c r="B52" s="55"/>
      <c r="C52" s="8"/>
      <c r="D52" s="8"/>
      <c r="E52" s="87"/>
      <c r="F52" s="8"/>
      <c r="G52" s="8"/>
      <c r="H52" s="8"/>
      <c r="I52" s="8"/>
      <c r="J52" s="92"/>
      <c r="K52" s="13">
        <f t="shared" si="0"/>
        <v>0</v>
      </c>
      <c r="L52" s="36"/>
      <c r="M52" s="36"/>
      <c r="N52" s="36"/>
      <c r="O52" s="36"/>
      <c r="P52" s="36"/>
      <c r="Q52" s="36"/>
      <c r="R52" s="36"/>
      <c r="S52" s="36"/>
    </row>
    <row r="53" spans="2:19" x14ac:dyDescent="0.25">
      <c r="B53" s="55"/>
      <c r="C53" s="8"/>
      <c r="D53" s="8"/>
      <c r="E53" s="87"/>
      <c r="F53" s="8"/>
      <c r="G53" s="8"/>
      <c r="H53" s="8"/>
      <c r="I53" s="8"/>
      <c r="J53" s="92"/>
      <c r="K53" s="13">
        <f t="shared" si="0"/>
        <v>0</v>
      </c>
      <c r="L53" s="36"/>
      <c r="M53" s="36"/>
      <c r="N53" s="36"/>
      <c r="O53" s="36"/>
      <c r="P53" s="36"/>
      <c r="Q53" s="36"/>
      <c r="R53" s="36"/>
      <c r="S53" s="36"/>
    </row>
    <row r="54" spans="2:19" x14ac:dyDescent="0.25">
      <c r="B54" s="55"/>
      <c r="C54" s="8"/>
      <c r="D54" s="8"/>
      <c r="E54" s="87"/>
      <c r="F54" s="8"/>
      <c r="G54" s="61"/>
      <c r="H54" s="10"/>
      <c r="I54" s="58"/>
      <c r="J54" s="92"/>
      <c r="K54" s="13">
        <f t="shared" si="0"/>
        <v>0</v>
      </c>
      <c r="L54" s="36"/>
      <c r="M54" s="36"/>
      <c r="N54" s="36"/>
      <c r="O54" s="36"/>
      <c r="P54" s="36"/>
      <c r="Q54" s="36"/>
      <c r="R54" s="36"/>
      <c r="S54" s="36"/>
    </row>
    <row r="55" spans="2:19" x14ac:dyDescent="0.25">
      <c r="B55" s="55"/>
      <c r="C55" s="8"/>
      <c r="D55" s="8"/>
      <c r="E55" s="55"/>
      <c r="F55" s="8"/>
      <c r="G55" s="8"/>
      <c r="H55" s="8"/>
      <c r="I55" s="8"/>
      <c r="J55" s="92"/>
      <c r="K55" s="13">
        <f t="shared" si="0"/>
        <v>0</v>
      </c>
      <c r="L55" s="36"/>
      <c r="M55" s="36"/>
      <c r="N55" s="36"/>
      <c r="O55" s="36"/>
      <c r="P55" s="36"/>
      <c r="Q55" s="36"/>
      <c r="R55" s="36"/>
      <c r="S55" s="36"/>
    </row>
    <row r="56" spans="2:19" x14ac:dyDescent="0.25">
      <c r="B56" s="55"/>
      <c r="C56" s="8"/>
      <c r="D56" s="8"/>
      <c r="E56" s="55"/>
      <c r="F56" s="8"/>
      <c r="G56" s="81"/>
      <c r="H56" s="8"/>
      <c r="I56" s="8"/>
      <c r="J56" s="92"/>
      <c r="K56" s="13">
        <f t="shared" si="0"/>
        <v>0</v>
      </c>
      <c r="L56" s="36"/>
      <c r="M56" s="36"/>
      <c r="N56" s="36"/>
      <c r="O56" s="36"/>
      <c r="P56" s="36"/>
      <c r="Q56" s="36"/>
      <c r="R56" s="36"/>
      <c r="S56" s="36"/>
    </row>
    <row r="57" spans="2:19" x14ac:dyDescent="0.25">
      <c r="B57" s="55"/>
      <c r="C57" s="8"/>
      <c r="D57" s="8"/>
      <c r="E57" s="55"/>
      <c r="F57" s="8"/>
      <c r="G57" s="61"/>
      <c r="H57" s="10"/>
      <c r="I57" s="58"/>
      <c r="J57" s="92"/>
      <c r="K57" s="13">
        <f t="shared" si="0"/>
        <v>0</v>
      </c>
      <c r="L57" s="36"/>
      <c r="M57" s="36"/>
      <c r="N57" s="36"/>
      <c r="O57" s="36"/>
      <c r="P57" s="36"/>
      <c r="Q57" s="36"/>
      <c r="R57" s="36"/>
      <c r="S57" s="36"/>
    </row>
    <row r="58" spans="2:19" x14ac:dyDescent="0.25">
      <c r="B58" s="55"/>
      <c r="C58" s="8"/>
      <c r="D58" s="8"/>
      <c r="E58" s="55"/>
      <c r="F58" s="8"/>
      <c r="G58" s="8"/>
      <c r="H58" s="8"/>
      <c r="I58" s="8"/>
      <c r="J58" s="92"/>
      <c r="K58" s="13">
        <f t="shared" si="0"/>
        <v>0</v>
      </c>
      <c r="L58" s="36"/>
      <c r="M58" s="36"/>
      <c r="N58" s="36"/>
      <c r="O58" s="36"/>
      <c r="P58" s="36"/>
      <c r="Q58" s="36"/>
      <c r="R58" s="36"/>
      <c r="S58" s="36"/>
    </row>
    <row r="59" spans="2:19" x14ac:dyDescent="0.25">
      <c r="B59" s="55"/>
      <c r="C59" s="8"/>
      <c r="D59" s="8"/>
      <c r="E59" s="55"/>
      <c r="F59" s="8"/>
      <c r="G59" s="8"/>
      <c r="H59" s="8"/>
      <c r="I59" s="8"/>
      <c r="J59" s="92"/>
      <c r="K59" s="13">
        <f t="shared" si="0"/>
        <v>0</v>
      </c>
      <c r="L59" s="36"/>
      <c r="M59" s="36"/>
      <c r="N59" s="36"/>
      <c r="O59" s="36"/>
      <c r="P59" s="36"/>
      <c r="Q59" s="36"/>
      <c r="R59" s="36"/>
      <c r="S59" s="36"/>
    </row>
    <row r="60" spans="6:19" x14ac:dyDescent="0.25">
      <c r="F60" t="s">
        <v>476</v>
      </c>
      <c r="J60" s="75">
        <f>SUM(J4:J59)</f>
        <v>940.7</v>
      </c>
      <c r="K60" s="13">
        <f t="shared" si="0"/>
        <v>3198.38</v>
      </c>
      <c r="L60" s="36"/>
      <c r="M60" s="36"/>
      <c r="N60" s="36"/>
      <c r="O60" s="36"/>
      <c r="P60" s="36"/>
      <c r="Q60" s="36"/>
      <c r="R60" s="36"/>
      <c r="S60" s="36"/>
    </row>
    <row r="61" spans="9:19" x14ac:dyDescent="0.25">
      <c r="I61" s="53"/>
      <c r="L61" s="36"/>
      <c r="M61" s="36"/>
      <c r="N61" s="36"/>
      <c r="O61" s="36"/>
      <c r="P61" s="36"/>
      <c r="Q61" s="36"/>
      <c r="R61" s="36"/>
      <c r="S61" s="36"/>
    </row>
    <row r="62" spans="9:19" x14ac:dyDescent="0.25">
      <c r="I62" s="54"/>
      <c r="L62" s="36"/>
      <c r="M62" s="36"/>
      <c r="N62" s="36"/>
      <c r="O62" s="36"/>
      <c r="P62" s="36"/>
      <c r="Q62" s="36"/>
      <c r="R62" s="36"/>
      <c r="S62" s="36"/>
    </row>
    <row r="63" spans="9:19" x14ac:dyDescent="0.25">
      <c r="I63" s="53"/>
      <c r="L63" s="36"/>
      <c r="M63" s="36"/>
      <c r="N63" s="36"/>
      <c r="O63" s="36"/>
      <c r="P63" s="36"/>
      <c r="Q63" s="36"/>
      <c r="R63" s="36"/>
      <c r="S63" s="36"/>
    </row>
    <row r="64" spans="9:19" x14ac:dyDescent="0.25">
      <c r="I64" s="54"/>
      <c r="L64" s="36"/>
      <c r="M64" s="36"/>
      <c r="N64" s="36"/>
      <c r="O64" s="36"/>
      <c r="P64" s="36"/>
      <c r="Q64" s="36"/>
      <c r="R64" s="36"/>
      <c r="S64" s="36"/>
    </row>
    <row r="65" spans="9:9" x14ac:dyDescent="0.25">
      <c r="I65" s="53"/>
    </row>
    <row r="66" spans="9:9" x14ac:dyDescent="0.25">
      <c r="I66" s="54"/>
    </row>
    <row r="69" spans="9:9" x14ac:dyDescent="0.25">
      <c r="I69" s="53"/>
    </row>
    <row r="70" spans="9:9" x14ac:dyDescent="0.25">
      <c r="I70" s="54"/>
    </row>
    <row r="72" spans="9:9" x14ac:dyDescent="0.25">
      <c r="I72" s="53"/>
    </row>
    <row r="73" spans="9:9" x14ac:dyDescent="0.25">
      <c r="I73" s="54"/>
    </row>
    <row r="84" ht="15.75" customHeight="1" spans="2:11" x14ac:dyDescent="0.25">
      <c r="B84" s="51" t="s">
        <v>123</v>
      </c>
      <c r="C84" s="51"/>
      <c r="D84" s="51"/>
      <c r="E84" s="51"/>
      <c r="F84" s="51"/>
      <c r="G84" s="51"/>
      <c r="H84" s="51"/>
      <c r="I84" s="51"/>
      <c r="J84" s="51"/>
      <c r="K84" s="51"/>
    </row>
    <row r="85" spans="2:11" x14ac:dyDescent="0.25">
      <c r="B85" s="1" t="s">
        <v>0</v>
      </c>
      <c r="C85" s="1" t="s">
        <v>124</v>
      </c>
      <c r="D85" s="2" t="s">
        <v>61</v>
      </c>
      <c r="E85" s="2" t="s">
        <v>9</v>
      </c>
      <c r="F85" s="2" t="s">
        <v>10</v>
      </c>
      <c r="G85" s="2" t="s">
        <v>62</v>
      </c>
      <c r="H85" s="2" t="s">
        <v>11</v>
      </c>
      <c r="I85" s="2" t="s">
        <v>12</v>
      </c>
      <c r="J85" s="44" t="s">
        <v>64</v>
      </c>
      <c r="K85" s="45" t="s">
        <v>13</v>
      </c>
    </row>
    <row r="86" spans="2:11" x14ac:dyDescent="0.25">
      <c r="B86" s="36"/>
      <c r="C86" s="36"/>
      <c r="D86" s="36"/>
      <c r="E86" s="36"/>
      <c r="F86" s="36"/>
      <c r="G86" s="36"/>
      <c r="H86" s="36"/>
      <c r="I86" s="36"/>
      <c r="J86" s="36"/>
      <c r="K86" s="36"/>
    </row>
    <row r="87" spans="2:11" x14ac:dyDescent="0.25">
      <c r="B87" s="36"/>
      <c r="C87" s="36"/>
      <c r="D87" s="36"/>
      <c r="E87" s="36"/>
      <c r="F87" s="36"/>
      <c r="G87" s="36"/>
      <c r="H87" s="36"/>
      <c r="I87" s="36"/>
      <c r="J87" s="36"/>
      <c r="K87" s="36"/>
    </row>
    <row r="88" spans="2:12" x14ac:dyDescent="0.25"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53"/>
    </row>
    <row r="89" spans="2:11" x14ac:dyDescent="0.25">
      <c r="B89" s="36"/>
      <c r="C89" s="36"/>
      <c r="D89" s="36"/>
      <c r="E89" s="36"/>
      <c r="F89" s="36"/>
      <c r="G89" s="36"/>
      <c r="H89" s="36"/>
      <c r="I89" s="36"/>
      <c r="J89" s="36"/>
      <c r="K89" s="36"/>
    </row>
    <row r="90" spans="2:11" x14ac:dyDescent="0.25">
      <c r="B90" s="36"/>
      <c r="C90" s="36"/>
      <c r="D90" s="36"/>
      <c r="E90" s="36"/>
      <c r="F90" s="36"/>
      <c r="G90" s="36"/>
      <c r="H90" s="36"/>
      <c r="I90" s="36"/>
      <c r="J90" s="36"/>
      <c r="K90" s="36"/>
    </row>
    <row r="91" spans="2:11" x14ac:dyDescent="0.25">
      <c r="B91" s="36"/>
      <c r="C91" s="36"/>
      <c r="D91" s="36"/>
      <c r="E91" s="36"/>
      <c r="F91" s="36"/>
      <c r="G91" s="36"/>
      <c r="H91" s="36"/>
      <c r="I91" s="36"/>
      <c r="J91" s="36"/>
      <c r="K91" s="36"/>
    </row>
    <row r="92" spans="2:11" x14ac:dyDescent="0.25">
      <c r="B92" s="36"/>
      <c r="C92" s="36"/>
      <c r="D92" s="36"/>
      <c r="E92" s="36"/>
      <c r="F92" s="36"/>
      <c r="G92" s="36"/>
      <c r="H92" s="36"/>
      <c r="I92" s="36"/>
      <c r="J92" s="36"/>
      <c r="K92" s="36"/>
    </row>
    <row r="93" spans="2:11" x14ac:dyDescent="0.25">
      <c r="B93" s="36"/>
      <c r="C93" s="36"/>
      <c r="D93" s="36"/>
      <c r="E93" s="36"/>
      <c r="F93" s="36"/>
      <c r="G93" s="36"/>
      <c r="H93" s="36"/>
      <c r="I93" s="36"/>
      <c r="J93" s="36"/>
      <c r="K93" s="36"/>
    </row>
    <row r="94" spans="2:11" x14ac:dyDescent="0.25">
      <c r="B94" s="36"/>
      <c r="C94" s="36"/>
      <c r="D94" s="36"/>
      <c r="E94" s="36"/>
      <c r="F94" s="36"/>
      <c r="G94" s="36"/>
      <c r="H94" s="36"/>
      <c r="I94" s="36"/>
      <c r="J94" s="36"/>
      <c r="K94" s="36"/>
    </row>
    <row r="100" spans="12:12" x14ac:dyDescent="0.25">
      <c r="L100" s="54"/>
    </row>
  </sheetData>
  <hyperlinks>
    <hyperlink ref="H4" r:id="rId1"/>
    <hyperlink ref="I4" r:id="rId2"/>
    <hyperlink ref="H5" r:id="rId3"/>
    <hyperlink ref="I5" r:id="rId4"/>
    <hyperlink ref="H6" r:id="rId5"/>
    <hyperlink ref="I6" r:id="rId6"/>
    <hyperlink ref="H7" r:id="rId7"/>
    <hyperlink ref="I7" r:id="rId8"/>
    <hyperlink ref="H8" r:id="rId9"/>
    <hyperlink ref="I8" r:id="rId10"/>
    <hyperlink ref="H9" r:id="rId11"/>
    <hyperlink ref="I9" r:id="rId12"/>
    <hyperlink ref="H10" r:id="rId13"/>
    <hyperlink ref="I10" r:id="rId14"/>
    <hyperlink ref="H11" r:id="rId15"/>
    <hyperlink ref="I11" r:id="rId16"/>
    <hyperlink ref="H12" r:id="rId17"/>
    <hyperlink ref="I12" r:id="rId18"/>
  </hyperlinks>
  <pageMargins left="0.7" right="0.7" top="0.75" bottom="0.75" header="0.3" footer="0.3"/>
  <pageSetup paperSize="9" orientation="portrait" horizontalDpi="360" verticalDpi="360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100"/>
  <sheetViews>
    <sheetView workbookViewId="0" zoomScale="70" zoomScaleNormal="70">
      <selection activeCell="F11" sqref="F11"/>
    </sheetView>
  </sheetViews>
  <sheetFormatPr defaultRowHeight="15" outlineLevelRow="0" outlineLevelCol="0" x14ac:dyDescent="0.25"/>
  <cols>
    <col min="1" max="1" width="9.42578125" customWidth="1"/>
    <col min="2" max="2" width="39.5703125" customWidth="1"/>
    <col min="3" max="3" width="15" customWidth="1"/>
    <col min="4" max="4" width="30.140625" customWidth="1"/>
    <col min="5" max="5" width="23.7109375" customWidth="1"/>
    <col min="6" max="6" width="27.5703125" customWidth="1"/>
    <col min="7" max="7" width="44.5703125" customWidth="1"/>
    <col min="8" max="8" width="41" customWidth="1"/>
    <col min="9" max="9" width="138.7109375" customWidth="1"/>
    <col min="10" max="10" width="23.5703125" customWidth="1"/>
    <col min="11" max="11" width="25.85546875" customWidth="1"/>
    <col min="12" max="12" width="24.85546875" customWidth="1"/>
    <col min="13" max="13" width="26.7109375" customWidth="1"/>
    <col min="14" max="14" width="22.85546875" customWidth="1"/>
    <col min="15" max="16" width="17.42578125" customWidth="1"/>
    <col min="17" max="17" width="13.42578125" customWidth="1"/>
    <col min="18" max="18" width="13" customWidth="1"/>
    <col min="19" max="19" width="18.28515625" customWidth="1"/>
    <col min="20" max="20" width="17.5703125" customWidth="1"/>
    <col min="21" max="21" width="19.140625" customWidth="1"/>
    <col min="23" max="23" width="21" customWidth="1"/>
  </cols>
  <sheetData>
    <row r="2" ht="15.75" customHeight="1" x14ac:dyDescent="0.25"/>
    <row r="3" ht="29.25" customHeight="1" spans="2:22" x14ac:dyDescent="0.25">
      <c r="B3" s="1" t="s">
        <v>0</v>
      </c>
      <c r="C3" s="2" t="s">
        <v>58</v>
      </c>
      <c r="D3" s="2" t="s">
        <v>59</v>
      </c>
      <c r="E3" s="2" t="s">
        <v>53</v>
      </c>
      <c r="F3" s="2" t="s">
        <v>3</v>
      </c>
      <c r="G3" s="2" t="s">
        <v>4</v>
      </c>
      <c r="H3" s="2" t="s">
        <v>60</v>
      </c>
      <c r="I3" s="2" t="s">
        <v>6</v>
      </c>
      <c r="J3" s="2" t="s">
        <v>7</v>
      </c>
      <c r="K3" s="2" t="s">
        <v>61</v>
      </c>
      <c r="L3" s="2" t="s">
        <v>9</v>
      </c>
      <c r="M3" s="2" t="s">
        <v>10</v>
      </c>
      <c r="N3" s="2" t="s">
        <v>62</v>
      </c>
      <c r="O3" s="2" t="s">
        <v>11</v>
      </c>
      <c r="P3" s="2" t="s">
        <v>12</v>
      </c>
      <c r="Q3" s="44" t="s">
        <v>64</v>
      </c>
      <c r="R3" s="45" t="s">
        <v>13</v>
      </c>
      <c r="S3" s="45" t="s">
        <v>65</v>
      </c>
      <c r="U3" s="4" t="s">
        <v>14</v>
      </c>
      <c r="V3">
        <v>3.4</v>
      </c>
    </row>
    <row r="4" ht="32.25" customHeight="1" spans="2:19" x14ac:dyDescent="0.25">
      <c r="B4" s="81" t="s">
        <v>731</v>
      </c>
      <c r="C4" s="85" t="s">
        <v>66</v>
      </c>
      <c r="D4" s="55" t="s">
        <v>66</v>
      </c>
      <c r="E4" s="81" t="s">
        <v>732</v>
      </c>
      <c r="F4" s="55" t="s">
        <v>130</v>
      </c>
      <c r="G4" s="57" t="s">
        <v>733</v>
      </c>
      <c r="H4" s="84" t="s">
        <v>234</v>
      </c>
      <c r="I4" s="84" t="s">
        <v>734</v>
      </c>
      <c r="J4" s="96">
        <v>190</v>
      </c>
      <c r="K4" s="13">
        <f t="shared" ref="K4:K60" si="0">J4*$V$3</f>
        <v>646</v>
      </c>
      <c r="L4" s="36"/>
      <c r="M4" s="36"/>
      <c r="N4" s="36"/>
      <c r="O4" s="36"/>
      <c r="P4" s="36"/>
      <c r="Q4" s="36"/>
      <c r="R4" s="36"/>
      <c r="S4" s="36"/>
    </row>
    <row r="5" spans="2:19" x14ac:dyDescent="0.25">
      <c r="B5" s="81" t="s">
        <v>735</v>
      </c>
      <c r="C5" s="85" t="s">
        <v>66</v>
      </c>
      <c r="D5" s="55" t="s">
        <v>66</v>
      </c>
      <c r="E5" s="81" t="s">
        <v>736</v>
      </c>
      <c r="F5" s="55" t="s">
        <v>130</v>
      </c>
      <c r="G5" s="57" t="s">
        <v>737</v>
      </c>
      <c r="H5" s="84" t="s">
        <v>234</v>
      </c>
      <c r="I5" s="84" t="s">
        <v>738</v>
      </c>
      <c r="J5" s="96">
        <v>190</v>
      </c>
      <c r="K5" s="13">
        <f t="shared" si="0"/>
        <v>646</v>
      </c>
      <c r="L5" s="36"/>
      <c r="M5" s="36"/>
      <c r="N5" s="36"/>
      <c r="O5" s="36"/>
      <c r="P5" s="36"/>
      <c r="Q5" s="36"/>
      <c r="R5" s="36"/>
      <c r="S5" s="36"/>
    </row>
    <row r="6" spans="2:19" x14ac:dyDescent="0.25">
      <c r="B6" s="89"/>
      <c r="C6" s="89"/>
      <c r="D6" s="55"/>
      <c r="E6" s="89"/>
      <c r="F6" s="55"/>
      <c r="G6" s="57"/>
      <c r="H6" s="47"/>
      <c r="I6" s="97"/>
      <c r="K6" s="13"/>
      <c r="L6" s="36"/>
      <c r="M6" s="36"/>
      <c r="N6" s="36"/>
      <c r="O6" s="36"/>
      <c r="P6" s="36"/>
      <c r="Q6" s="36"/>
      <c r="R6" s="36"/>
      <c r="S6" s="36"/>
    </row>
    <row r="7" ht="21" customHeight="1" spans="2:19" x14ac:dyDescent="0.25">
      <c r="B7" s="89"/>
      <c r="C7" s="89"/>
      <c r="D7" s="55"/>
      <c r="E7" s="89"/>
      <c r="F7" s="55"/>
      <c r="G7" s="9"/>
      <c r="H7" s="47"/>
      <c r="I7" s="97"/>
      <c r="J7" s="96"/>
      <c r="K7" s="13">
        <f t="shared" si="0"/>
        <v>0</v>
      </c>
      <c r="L7" s="36"/>
      <c r="M7" s="36"/>
      <c r="N7" s="36"/>
      <c r="O7" s="36"/>
      <c r="P7" s="36"/>
      <c r="Q7" s="36"/>
      <c r="R7" s="36"/>
      <c r="S7" s="36"/>
    </row>
    <row r="8" spans="2:19" x14ac:dyDescent="0.25">
      <c r="B8" s="89"/>
      <c r="C8" s="89"/>
      <c r="D8" s="55"/>
      <c r="E8" s="89"/>
      <c r="F8" s="8"/>
      <c r="G8" s="9"/>
      <c r="H8" s="47"/>
      <c r="I8" s="97"/>
      <c r="J8" s="96"/>
      <c r="K8" s="13">
        <f t="shared" si="0"/>
        <v>0</v>
      </c>
      <c r="L8" s="36"/>
      <c r="M8" s="36"/>
      <c r="N8" s="36"/>
      <c r="O8" s="36"/>
      <c r="P8" s="36"/>
      <c r="Q8" s="36"/>
      <c r="R8" s="36"/>
      <c r="S8" s="36"/>
    </row>
    <row r="9" spans="2:21" x14ac:dyDescent="0.25">
      <c r="B9" s="89"/>
      <c r="C9" s="89"/>
      <c r="D9" s="55"/>
      <c r="E9" s="89"/>
      <c r="F9" s="8"/>
      <c r="G9" s="9"/>
      <c r="H9" s="47"/>
      <c r="I9" s="97"/>
      <c r="J9" s="96"/>
      <c r="K9" s="13">
        <f t="shared" si="0"/>
        <v>0</v>
      </c>
      <c r="L9" s="13"/>
      <c r="M9" s="13"/>
      <c r="N9" s="13"/>
      <c r="O9" s="15"/>
      <c r="P9" s="8"/>
      <c r="Q9" s="46"/>
      <c r="R9" s="8"/>
      <c r="S9" s="36"/>
      <c r="U9" s="20"/>
    </row>
    <row r="10" spans="2:21" s="62" customFormat="1" x14ac:dyDescent="0.25">
      <c r="B10" s="89"/>
      <c r="C10" s="89"/>
      <c r="D10" s="55"/>
      <c r="E10" s="89"/>
      <c r="F10" s="8"/>
      <c r="G10" s="9"/>
      <c r="H10" s="47"/>
      <c r="I10" s="97"/>
      <c r="J10" s="96"/>
      <c r="K10" s="13">
        <f t="shared" si="0"/>
        <v>0</v>
      </c>
      <c r="L10" s="64"/>
      <c r="M10" s="64"/>
      <c r="N10" s="64"/>
      <c r="O10" s="15"/>
      <c r="P10" s="8"/>
      <c r="Q10" s="65"/>
      <c r="R10" s="66"/>
      <c r="S10" s="66"/>
      <c r="U10" s="20"/>
    </row>
    <row r="11" spans="2:21" x14ac:dyDescent="0.25">
      <c r="B11" s="89"/>
      <c r="C11" s="89"/>
      <c r="D11" s="55"/>
      <c r="E11" s="89"/>
      <c r="F11" s="55"/>
      <c r="G11" s="9"/>
      <c r="H11" s="47"/>
      <c r="I11" s="97"/>
      <c r="J11" s="96"/>
      <c r="K11" s="13">
        <f t="shared" si="0"/>
        <v>0</v>
      </c>
      <c r="L11" s="13"/>
      <c r="M11" s="13"/>
      <c r="N11" s="13"/>
      <c r="O11" s="15"/>
      <c r="P11" s="8"/>
      <c r="Q11" s="46"/>
      <c r="R11" s="36"/>
      <c r="S11" s="36"/>
      <c r="U11" s="24"/>
    </row>
    <row r="12" spans="2:21" x14ac:dyDescent="0.25">
      <c r="B12" s="89"/>
      <c r="C12" s="89"/>
      <c r="D12" s="55"/>
      <c r="E12" s="89"/>
      <c r="F12" s="55"/>
      <c r="G12" s="9"/>
      <c r="H12" s="47"/>
      <c r="I12" s="97"/>
      <c r="J12" s="96"/>
      <c r="K12" s="13">
        <f t="shared" si="0"/>
        <v>0</v>
      </c>
      <c r="L12" s="13"/>
      <c r="M12" s="13"/>
      <c r="N12" s="13"/>
      <c r="O12" s="15"/>
      <c r="P12" s="8"/>
      <c r="Q12" s="46"/>
      <c r="R12" s="36"/>
      <c r="S12" s="36"/>
      <c r="U12" s="23"/>
    </row>
    <row r="13" spans="2:21" x14ac:dyDescent="0.25">
      <c r="B13" s="55"/>
      <c r="C13" s="89"/>
      <c r="D13" s="55"/>
      <c r="E13" s="55"/>
      <c r="F13" s="55"/>
      <c r="G13" s="9"/>
      <c r="H13" s="47"/>
      <c r="I13" s="98"/>
      <c r="J13" s="96"/>
      <c r="K13" s="13">
        <f t="shared" si="0"/>
        <v>0</v>
      </c>
      <c r="L13" s="13"/>
      <c r="M13" s="13"/>
      <c r="N13" s="13"/>
      <c r="O13" s="15"/>
      <c r="P13" s="8"/>
      <c r="Q13" s="46"/>
      <c r="R13" s="36"/>
      <c r="S13" s="36"/>
      <c r="U13" s="20"/>
    </row>
    <row r="14" spans="2:21" x14ac:dyDescent="0.25">
      <c r="B14" s="55"/>
      <c r="C14" s="89"/>
      <c r="D14" s="55"/>
      <c r="E14" s="55"/>
      <c r="F14" s="55"/>
      <c r="G14" s="9"/>
      <c r="H14" s="47"/>
      <c r="I14" s="98"/>
      <c r="J14" s="96"/>
      <c r="K14" s="13">
        <f t="shared" si="0"/>
        <v>0</v>
      </c>
      <c r="L14" s="13"/>
      <c r="M14" s="13"/>
      <c r="N14" s="13"/>
      <c r="O14" s="15"/>
      <c r="P14" s="8"/>
      <c r="Q14" s="46"/>
      <c r="R14" s="36"/>
      <c r="S14" s="36"/>
      <c r="U14" s="20"/>
    </row>
    <row r="15" spans="2:21" x14ac:dyDescent="0.25">
      <c r="B15" s="55"/>
      <c r="C15" s="89"/>
      <c r="D15" s="55"/>
      <c r="E15" s="55"/>
      <c r="F15" s="55"/>
      <c r="G15" s="9"/>
      <c r="H15" s="47"/>
      <c r="I15" s="98"/>
      <c r="J15" s="96"/>
      <c r="K15" s="13">
        <f t="shared" si="0"/>
        <v>0</v>
      </c>
      <c r="L15" s="13"/>
      <c r="M15" s="13"/>
      <c r="N15" s="13"/>
      <c r="O15" s="15"/>
      <c r="P15" s="8"/>
      <c r="Q15" s="46"/>
      <c r="R15" s="36"/>
      <c r="S15" s="36"/>
      <c r="U15" s="40"/>
    </row>
    <row r="16" spans="2:21" x14ac:dyDescent="0.25">
      <c r="B16" s="55"/>
      <c r="C16" s="89"/>
      <c r="D16" s="55"/>
      <c r="E16" s="55"/>
      <c r="F16" s="55"/>
      <c r="G16" s="9"/>
      <c r="H16" s="47"/>
      <c r="I16" s="98"/>
      <c r="J16" s="96"/>
      <c r="K16" s="13">
        <f t="shared" si="0"/>
        <v>0</v>
      </c>
      <c r="L16" s="13"/>
      <c r="M16" s="13"/>
      <c r="N16" s="13"/>
      <c r="O16" s="15"/>
      <c r="P16" s="8"/>
      <c r="Q16" s="46"/>
      <c r="R16" s="36"/>
      <c r="S16" s="36"/>
      <c r="U16" s="23"/>
    </row>
    <row r="17" spans="2:19" x14ac:dyDescent="0.25">
      <c r="B17" s="55"/>
      <c r="C17" s="55"/>
      <c r="D17" s="55"/>
      <c r="E17" s="55"/>
      <c r="F17" s="55"/>
      <c r="G17" s="9"/>
      <c r="H17" s="47"/>
      <c r="I17" s="98"/>
      <c r="J17" s="96"/>
      <c r="K17" s="13">
        <f t="shared" si="0"/>
        <v>0</v>
      </c>
      <c r="L17" s="13"/>
      <c r="M17" s="13"/>
      <c r="N17" s="13"/>
      <c r="O17" s="15"/>
      <c r="P17" s="8"/>
      <c r="Q17" s="46"/>
      <c r="R17" s="36"/>
      <c r="S17" s="36"/>
    </row>
    <row r="18" spans="2:19" x14ac:dyDescent="0.25">
      <c r="B18" s="55"/>
      <c r="C18" s="55"/>
      <c r="D18" s="55"/>
      <c r="E18" s="55"/>
      <c r="F18" s="55"/>
      <c r="G18" s="9"/>
      <c r="H18" s="57"/>
      <c r="I18" s="98"/>
      <c r="J18" s="96"/>
      <c r="K18" s="13">
        <f t="shared" si="0"/>
        <v>0</v>
      </c>
      <c r="L18" s="13"/>
      <c r="M18" s="13"/>
      <c r="N18" s="13"/>
      <c r="O18" s="15"/>
      <c r="P18" s="8"/>
      <c r="Q18" s="46"/>
      <c r="R18" s="36"/>
      <c r="S18" s="36"/>
    </row>
    <row r="19" spans="2:19" x14ac:dyDescent="0.25">
      <c r="B19" s="55"/>
      <c r="C19" s="55"/>
      <c r="D19" s="55"/>
      <c r="E19" s="55"/>
      <c r="F19" s="55"/>
      <c r="G19" s="9"/>
      <c r="H19" s="47"/>
      <c r="I19" s="98"/>
      <c r="J19" s="96"/>
      <c r="K19" s="13">
        <f t="shared" si="0"/>
        <v>0</v>
      </c>
      <c r="L19" s="13"/>
      <c r="M19" s="13"/>
      <c r="N19" s="13"/>
      <c r="O19" s="15"/>
      <c r="P19" s="8"/>
      <c r="Q19" s="46"/>
      <c r="R19" s="36"/>
      <c r="S19" s="36"/>
    </row>
    <row r="20" spans="2:19" x14ac:dyDescent="0.25">
      <c r="B20" s="55"/>
      <c r="C20" s="8"/>
      <c r="D20" s="8"/>
      <c r="E20" s="61"/>
      <c r="F20" s="8"/>
      <c r="G20" s="9"/>
      <c r="H20" s="47"/>
      <c r="I20" s="98"/>
      <c r="J20" s="96"/>
      <c r="K20" s="13">
        <f t="shared" si="0"/>
        <v>0</v>
      </c>
      <c r="L20" s="13"/>
      <c r="M20" s="13"/>
      <c r="N20" s="13"/>
      <c r="O20" s="15"/>
      <c r="P20" s="8"/>
      <c r="Q20" s="46"/>
      <c r="R20" s="36"/>
      <c r="S20" s="36"/>
    </row>
    <row r="21" spans="2:19" x14ac:dyDescent="0.25">
      <c r="B21" s="55"/>
      <c r="C21" s="8"/>
      <c r="D21" s="8"/>
      <c r="E21" s="61"/>
      <c r="F21" s="8"/>
      <c r="G21" s="9"/>
      <c r="H21" s="47"/>
      <c r="I21" s="98"/>
      <c r="J21" s="96"/>
      <c r="K21" s="13">
        <f t="shared" si="0"/>
        <v>0</v>
      </c>
      <c r="L21" s="13"/>
      <c r="M21" s="13"/>
      <c r="N21" s="13"/>
      <c r="O21" s="15">
        <f>L21-K16-N21</f>
        <v>0</v>
      </c>
      <c r="P21" s="8"/>
      <c r="Q21" s="46"/>
      <c r="R21" s="36"/>
      <c r="S21" s="36"/>
    </row>
    <row r="22" spans="2:19" x14ac:dyDescent="0.25">
      <c r="B22" s="55"/>
      <c r="C22" s="8"/>
      <c r="D22" s="8"/>
      <c r="E22" s="61"/>
      <c r="F22" s="8"/>
      <c r="G22" s="9"/>
      <c r="H22" s="47"/>
      <c r="I22" s="98"/>
      <c r="J22" s="96"/>
      <c r="K22" s="13">
        <f t="shared" si="0"/>
        <v>0</v>
      </c>
      <c r="L22" s="13"/>
      <c r="M22" s="13"/>
      <c r="N22" s="13"/>
      <c r="O22" s="15">
        <f>L22-K17-N22</f>
        <v>0</v>
      </c>
      <c r="P22" s="8"/>
      <c r="Q22" s="46"/>
      <c r="R22" s="36"/>
      <c r="S22" s="36"/>
    </row>
    <row r="23" spans="2:19" x14ac:dyDescent="0.25">
      <c r="B23" s="55"/>
      <c r="C23" s="8"/>
      <c r="D23" s="8"/>
      <c r="E23" s="61"/>
      <c r="F23" s="8"/>
      <c r="G23" s="9"/>
      <c r="H23" s="47"/>
      <c r="I23" s="98"/>
      <c r="J23" s="96"/>
      <c r="K23" s="13">
        <f t="shared" si="0"/>
        <v>0</v>
      </c>
      <c r="L23" s="13"/>
      <c r="M23" s="13"/>
      <c r="N23" s="13"/>
      <c r="O23" s="15">
        <f>L23-K18-N23</f>
        <v>0</v>
      </c>
      <c r="P23" s="8"/>
      <c r="Q23" s="46"/>
      <c r="R23" s="36"/>
      <c r="S23" s="36"/>
    </row>
    <row r="24" spans="2:19" x14ac:dyDescent="0.25">
      <c r="B24" s="55"/>
      <c r="C24" s="8"/>
      <c r="D24" s="8"/>
      <c r="E24" s="61"/>
      <c r="F24" s="8"/>
      <c r="G24" s="9"/>
      <c r="H24" s="47"/>
      <c r="I24" s="98"/>
      <c r="J24" s="96"/>
      <c r="K24" s="13">
        <f t="shared" si="0"/>
        <v>0</v>
      </c>
      <c r="L24" s="36"/>
      <c r="M24" s="67"/>
      <c r="N24" s="67">
        <f>SUM(L4:L23)</f>
        <v>0</v>
      </c>
      <c r="O24" s="36"/>
      <c r="P24" s="36"/>
      <c r="Q24" s="67">
        <f>SUM(O4:O23)</f>
        <v>0</v>
      </c>
      <c r="R24" s="36"/>
      <c r="S24" s="36"/>
    </row>
    <row r="25" spans="2:19" x14ac:dyDescent="0.25">
      <c r="B25" s="55"/>
      <c r="C25" s="8"/>
      <c r="D25" s="8"/>
      <c r="E25" s="61"/>
      <c r="F25" s="8"/>
      <c r="G25" s="9"/>
      <c r="H25" s="47"/>
      <c r="I25" s="98"/>
      <c r="J25" s="96"/>
      <c r="K25" s="13">
        <f t="shared" si="0"/>
        <v>0</v>
      </c>
      <c r="L25" s="36"/>
      <c r="M25" s="36"/>
      <c r="N25" s="36"/>
      <c r="O25" s="36"/>
      <c r="P25" s="36"/>
      <c r="Q25" s="36"/>
      <c r="R25" s="36"/>
      <c r="S25" s="36"/>
    </row>
    <row r="26" spans="2:19" x14ac:dyDescent="0.25">
      <c r="B26" s="55"/>
      <c r="C26" s="8"/>
      <c r="D26" s="8"/>
      <c r="E26" s="61"/>
      <c r="F26" s="8"/>
      <c r="G26" s="9"/>
      <c r="H26" s="47"/>
      <c r="I26" s="98"/>
      <c r="J26" s="96"/>
      <c r="K26" s="13">
        <f t="shared" si="0"/>
        <v>0</v>
      </c>
      <c r="L26" s="36"/>
      <c r="M26" s="36"/>
      <c r="N26" s="36"/>
      <c r="O26" s="36"/>
      <c r="P26" s="36"/>
      <c r="Q26" s="36"/>
      <c r="R26" s="36"/>
      <c r="S26" s="36"/>
    </row>
    <row r="27" ht="29.25" customHeight="1" spans="2:19" x14ac:dyDescent="0.25">
      <c r="B27" s="55"/>
      <c r="C27" s="8"/>
      <c r="D27" s="8"/>
      <c r="E27" s="61"/>
      <c r="F27" s="8"/>
      <c r="G27" s="8"/>
      <c r="H27" s="47"/>
      <c r="I27" s="98"/>
      <c r="J27" s="96"/>
      <c r="K27" s="13">
        <f t="shared" si="0"/>
        <v>0</v>
      </c>
      <c r="L27" s="36"/>
      <c r="M27" s="36"/>
      <c r="N27" s="36"/>
      <c r="O27" s="36"/>
      <c r="P27" s="36"/>
      <c r="Q27" s="36"/>
      <c r="R27" s="36"/>
      <c r="S27" s="36"/>
    </row>
    <row r="28" spans="2:19" x14ac:dyDescent="0.25">
      <c r="B28" s="55"/>
      <c r="C28" s="8"/>
      <c r="D28" s="8"/>
      <c r="E28" s="61"/>
      <c r="F28" s="8"/>
      <c r="G28" s="61"/>
      <c r="H28" s="47"/>
      <c r="I28" s="98"/>
      <c r="J28" s="96"/>
      <c r="K28" s="13">
        <f t="shared" si="0"/>
        <v>0</v>
      </c>
      <c r="L28" s="36"/>
      <c r="M28" s="36"/>
      <c r="N28" s="36"/>
      <c r="O28" s="36"/>
      <c r="P28" s="36"/>
      <c r="Q28" s="36"/>
      <c r="R28" s="36"/>
      <c r="S28" s="36"/>
    </row>
    <row r="29" spans="2:19" x14ac:dyDescent="0.25">
      <c r="B29" s="55"/>
      <c r="C29" s="8"/>
      <c r="D29" s="8"/>
      <c r="E29" s="61"/>
      <c r="F29" s="8"/>
      <c r="G29" s="8"/>
      <c r="H29" s="47"/>
      <c r="I29" s="98"/>
      <c r="J29" s="96"/>
      <c r="K29" s="13">
        <f t="shared" si="0"/>
        <v>0</v>
      </c>
      <c r="L29" s="36"/>
      <c r="M29" s="36"/>
      <c r="N29" s="36"/>
      <c r="O29" s="36"/>
      <c r="P29" s="36"/>
      <c r="Q29" s="36"/>
      <c r="R29" s="36"/>
      <c r="S29" s="36"/>
    </row>
    <row r="30" spans="2:19" x14ac:dyDescent="0.25">
      <c r="B30" s="55"/>
      <c r="C30" s="8"/>
      <c r="D30" s="8"/>
      <c r="E30" s="61"/>
      <c r="F30" s="8"/>
      <c r="G30" s="8"/>
      <c r="H30" s="47"/>
      <c r="I30" s="98"/>
      <c r="J30" s="96"/>
      <c r="K30" s="13">
        <f t="shared" si="0"/>
        <v>0</v>
      </c>
      <c r="L30" s="36"/>
      <c r="M30" s="36"/>
      <c r="N30" s="36"/>
      <c r="O30" s="36"/>
      <c r="P30" s="36"/>
      <c r="Q30" s="36"/>
      <c r="R30" s="36"/>
      <c r="S30" s="36"/>
    </row>
    <row r="31" ht="30.75" customHeight="1" spans="2:19" x14ac:dyDescent="0.25">
      <c r="B31" s="55"/>
      <c r="C31" s="8"/>
      <c r="D31" s="8"/>
      <c r="E31" s="61"/>
      <c r="F31" s="8"/>
      <c r="G31" s="61"/>
      <c r="H31" s="47"/>
      <c r="I31" s="98"/>
      <c r="J31" s="96"/>
      <c r="K31" s="13">
        <f t="shared" si="0"/>
        <v>0</v>
      </c>
      <c r="L31" s="36"/>
      <c r="M31" s="36"/>
      <c r="N31" s="36"/>
      <c r="O31" s="36"/>
      <c r="P31" s="36"/>
      <c r="Q31" s="36"/>
      <c r="R31" s="36"/>
      <c r="S31" s="36"/>
    </row>
    <row r="32" spans="2:19" x14ac:dyDescent="0.25">
      <c r="B32" s="55"/>
      <c r="C32" s="8"/>
      <c r="D32" s="8"/>
      <c r="E32" s="61"/>
      <c r="F32" s="8"/>
      <c r="G32" s="8"/>
      <c r="H32" s="47"/>
      <c r="I32" s="98"/>
      <c r="J32" s="96"/>
      <c r="K32" s="13">
        <f t="shared" si="0"/>
        <v>0</v>
      </c>
      <c r="L32" s="36"/>
      <c r="M32" s="36"/>
      <c r="N32" s="36"/>
      <c r="O32" s="36"/>
      <c r="P32" s="36"/>
      <c r="Q32" s="36"/>
      <c r="R32" s="36"/>
      <c r="S32" s="36"/>
    </row>
    <row r="33" spans="2:19" x14ac:dyDescent="0.25">
      <c r="B33" s="55"/>
      <c r="C33" s="8"/>
      <c r="D33" s="8"/>
      <c r="E33" s="61"/>
      <c r="F33" s="8"/>
      <c r="G33" s="8"/>
      <c r="H33" s="47"/>
      <c r="I33" s="99"/>
      <c r="J33" s="96"/>
      <c r="K33" s="13">
        <f t="shared" si="0"/>
        <v>0</v>
      </c>
      <c r="L33" s="36"/>
      <c r="M33" s="36"/>
      <c r="N33" s="36"/>
      <c r="O33" s="36"/>
      <c r="P33" s="36"/>
      <c r="Q33" s="36"/>
      <c r="R33" s="36"/>
      <c r="S33" s="36"/>
    </row>
    <row r="34" spans="2:19" x14ac:dyDescent="0.25">
      <c r="B34" s="55"/>
      <c r="C34" s="8"/>
      <c r="D34" s="8"/>
      <c r="E34" s="61"/>
      <c r="F34" s="8"/>
      <c r="G34" s="61"/>
      <c r="H34" s="47"/>
      <c r="I34" s="98"/>
      <c r="J34" s="96"/>
      <c r="K34" s="13">
        <f t="shared" si="0"/>
        <v>0</v>
      </c>
      <c r="L34" s="36"/>
      <c r="M34" s="36"/>
      <c r="N34" s="36"/>
      <c r="O34" s="36"/>
      <c r="P34" s="36"/>
      <c r="Q34" s="36"/>
      <c r="R34" s="36"/>
      <c r="S34" s="36"/>
    </row>
    <row r="35" spans="2:19" x14ac:dyDescent="0.25">
      <c r="B35" s="55"/>
      <c r="C35" s="8"/>
      <c r="D35" s="8"/>
      <c r="E35" s="61"/>
      <c r="F35" s="8"/>
      <c r="G35" s="8"/>
      <c r="H35" s="47"/>
      <c r="I35" s="98"/>
      <c r="J35" s="96"/>
      <c r="K35" s="13">
        <f t="shared" si="0"/>
        <v>0</v>
      </c>
      <c r="L35" s="36"/>
      <c r="M35" s="36"/>
      <c r="N35" s="36"/>
      <c r="O35" s="36"/>
      <c r="P35" s="36"/>
      <c r="Q35" s="36"/>
      <c r="R35" s="36"/>
      <c r="S35" s="36"/>
    </row>
    <row r="36" spans="2:19" x14ac:dyDescent="0.25">
      <c r="B36" s="55"/>
      <c r="C36" s="8"/>
      <c r="D36" s="8"/>
      <c r="E36" s="61"/>
      <c r="F36" s="8"/>
      <c r="G36" s="8"/>
      <c r="H36" s="47"/>
      <c r="I36" s="98"/>
      <c r="J36" s="96"/>
      <c r="K36" s="13">
        <f t="shared" si="0"/>
        <v>0</v>
      </c>
      <c r="L36" s="36"/>
      <c r="M36" s="36"/>
      <c r="N36" s="36"/>
      <c r="O36" s="36"/>
      <c r="P36" s="36"/>
      <c r="Q36" s="36"/>
      <c r="R36" s="36"/>
      <c r="S36" s="36"/>
    </row>
    <row r="37" spans="2:19" x14ac:dyDescent="0.25">
      <c r="B37" s="55"/>
      <c r="C37" s="8"/>
      <c r="D37" s="8"/>
      <c r="E37" s="61"/>
      <c r="F37" s="8"/>
      <c r="G37" s="61"/>
      <c r="H37" s="47"/>
      <c r="I37" s="98"/>
      <c r="J37" s="96"/>
      <c r="K37" s="13">
        <f t="shared" si="0"/>
        <v>0</v>
      </c>
      <c r="L37" s="36"/>
      <c r="M37" s="36"/>
      <c r="N37" s="36"/>
      <c r="O37" s="36"/>
      <c r="P37" s="36"/>
      <c r="Q37" s="36"/>
      <c r="R37" s="36"/>
      <c r="S37" s="36"/>
    </row>
    <row r="38" spans="2:19" x14ac:dyDescent="0.25">
      <c r="B38" s="55"/>
      <c r="C38" s="8"/>
      <c r="D38" s="8"/>
      <c r="E38" s="61"/>
      <c r="F38" s="8"/>
      <c r="G38" s="8"/>
      <c r="H38" s="47"/>
      <c r="I38" s="98"/>
      <c r="J38" s="96"/>
      <c r="K38" s="13">
        <f t="shared" si="0"/>
        <v>0</v>
      </c>
      <c r="L38" s="36"/>
      <c r="M38" s="36"/>
      <c r="N38" s="36"/>
      <c r="O38" s="36"/>
      <c r="P38" s="36"/>
      <c r="Q38" s="36"/>
      <c r="R38" s="36"/>
      <c r="S38" s="36"/>
    </row>
    <row r="39" spans="2:19" x14ac:dyDescent="0.25">
      <c r="B39" s="55"/>
      <c r="C39" s="8"/>
      <c r="D39" s="8"/>
      <c r="E39" s="61"/>
      <c r="F39" s="8"/>
      <c r="G39" s="8"/>
      <c r="H39" s="47"/>
      <c r="I39" s="98"/>
      <c r="J39" s="96"/>
      <c r="K39" s="13">
        <f t="shared" si="0"/>
        <v>0</v>
      </c>
      <c r="L39" s="36"/>
      <c r="M39" s="36"/>
      <c r="N39" s="36"/>
      <c r="O39" s="36"/>
      <c r="P39" s="36"/>
      <c r="Q39" s="36"/>
      <c r="R39" s="36"/>
      <c r="S39" s="36"/>
    </row>
    <row r="40" spans="2:19" x14ac:dyDescent="0.25">
      <c r="B40" s="55"/>
      <c r="C40" s="8"/>
      <c r="D40" s="8"/>
      <c r="E40" s="61"/>
      <c r="F40" s="8"/>
      <c r="G40" s="61"/>
      <c r="H40" s="47"/>
      <c r="I40" s="98"/>
      <c r="J40" s="96"/>
      <c r="K40" s="13">
        <f t="shared" si="0"/>
        <v>0</v>
      </c>
      <c r="L40" s="36"/>
      <c r="M40" s="36"/>
      <c r="N40" s="36"/>
      <c r="O40" s="36"/>
      <c r="P40" s="36"/>
      <c r="Q40" s="36"/>
      <c r="R40" s="36"/>
      <c r="S40" s="36"/>
    </row>
    <row r="41" spans="2:19" x14ac:dyDescent="0.25">
      <c r="B41" s="55"/>
      <c r="C41" s="8"/>
      <c r="D41" s="8"/>
      <c r="E41" s="61"/>
      <c r="F41" s="8"/>
      <c r="G41" s="8"/>
      <c r="H41" s="47"/>
      <c r="I41" s="98"/>
      <c r="J41" s="96"/>
      <c r="K41" s="13">
        <f t="shared" si="0"/>
        <v>0</v>
      </c>
      <c r="L41" s="36"/>
      <c r="M41" s="36"/>
      <c r="N41" s="36"/>
      <c r="O41" s="36"/>
      <c r="P41" s="36"/>
      <c r="Q41" s="36"/>
      <c r="R41" s="36"/>
      <c r="S41" s="36"/>
    </row>
    <row r="42" spans="2:19" x14ac:dyDescent="0.25">
      <c r="B42" s="55"/>
      <c r="C42" s="8"/>
      <c r="D42" s="8"/>
      <c r="E42" s="61"/>
      <c r="F42" s="8"/>
      <c r="G42" s="8"/>
      <c r="H42" s="47"/>
      <c r="I42" s="98"/>
      <c r="J42" s="96"/>
      <c r="K42" s="13">
        <f t="shared" si="0"/>
        <v>0</v>
      </c>
      <c r="L42" s="36"/>
      <c r="M42" s="36"/>
      <c r="N42" s="36"/>
      <c r="O42" s="36"/>
      <c r="P42" s="36"/>
      <c r="Q42" s="36"/>
      <c r="R42" s="36"/>
      <c r="S42" s="36"/>
    </row>
    <row r="43" spans="2:19" x14ac:dyDescent="0.25">
      <c r="B43" s="55"/>
      <c r="C43" s="8"/>
      <c r="D43" s="8"/>
      <c r="E43" s="61"/>
      <c r="F43" s="8"/>
      <c r="G43" s="8"/>
      <c r="H43" s="47"/>
      <c r="I43" s="99"/>
      <c r="J43" s="96"/>
      <c r="K43" s="13">
        <f t="shared" si="0"/>
        <v>0</v>
      </c>
      <c r="L43" s="36"/>
      <c r="M43" s="36"/>
      <c r="N43" s="36"/>
      <c r="O43" s="36"/>
      <c r="P43" s="36"/>
      <c r="Q43" s="36"/>
      <c r="R43" s="36"/>
      <c r="S43" s="36"/>
    </row>
    <row r="44" spans="2:19" x14ac:dyDescent="0.25">
      <c r="B44" s="55"/>
      <c r="C44" s="8"/>
      <c r="D44" s="8"/>
      <c r="E44" s="61"/>
      <c r="F44" s="8"/>
      <c r="G44" s="8"/>
      <c r="H44" s="47"/>
      <c r="I44" s="98"/>
      <c r="J44" s="96"/>
      <c r="K44" s="13">
        <f t="shared" si="0"/>
        <v>0</v>
      </c>
      <c r="L44" s="36"/>
      <c r="M44" s="36"/>
      <c r="N44" s="36"/>
      <c r="O44" s="36"/>
      <c r="P44" s="36"/>
      <c r="Q44" s="36"/>
      <c r="R44" s="36"/>
      <c r="S44" s="36"/>
    </row>
    <row r="45" spans="2:19" x14ac:dyDescent="0.25">
      <c r="B45" s="55"/>
      <c r="C45" s="8"/>
      <c r="D45" s="8"/>
      <c r="E45" s="61"/>
      <c r="F45" s="8"/>
      <c r="G45" s="61"/>
      <c r="H45" s="47"/>
      <c r="I45" s="98"/>
      <c r="J45" s="96"/>
      <c r="K45" s="13">
        <f t="shared" si="0"/>
        <v>0</v>
      </c>
      <c r="L45" s="36"/>
      <c r="M45" s="36"/>
      <c r="N45" s="36"/>
      <c r="O45" s="36"/>
      <c r="P45" s="36"/>
      <c r="Q45" s="36"/>
      <c r="R45" s="36"/>
      <c r="S45" s="36"/>
    </row>
    <row r="46" spans="2:19" x14ac:dyDescent="0.25">
      <c r="B46" s="55"/>
      <c r="C46" s="8"/>
      <c r="D46" s="8"/>
      <c r="E46" s="61"/>
      <c r="F46" s="8"/>
      <c r="G46" s="8"/>
      <c r="H46" s="47"/>
      <c r="I46" s="98"/>
      <c r="J46" s="92"/>
      <c r="K46" s="13">
        <f t="shared" si="0"/>
        <v>0</v>
      </c>
      <c r="L46" s="36"/>
      <c r="M46" s="36"/>
      <c r="N46" s="36"/>
      <c r="O46" s="36"/>
      <c r="P46" s="36"/>
      <c r="Q46" s="36"/>
      <c r="R46" s="36"/>
      <c r="S46" s="36"/>
    </row>
    <row r="47" spans="2:19" x14ac:dyDescent="0.25">
      <c r="B47" s="55"/>
      <c r="C47" s="8"/>
      <c r="D47" s="8"/>
      <c r="E47" s="61"/>
      <c r="F47" s="8"/>
      <c r="G47" s="8"/>
      <c r="H47" s="47"/>
      <c r="I47" s="98"/>
      <c r="J47" s="92"/>
      <c r="K47" s="13">
        <f t="shared" si="0"/>
        <v>0</v>
      </c>
      <c r="L47" s="36"/>
      <c r="M47" s="36"/>
      <c r="N47" s="36"/>
      <c r="O47" s="36"/>
      <c r="P47" s="36"/>
      <c r="Q47" s="36"/>
      <c r="R47" s="36"/>
      <c r="S47" s="36"/>
    </row>
    <row r="48" spans="2:19" x14ac:dyDescent="0.25">
      <c r="B48" s="86"/>
      <c r="C48" s="8"/>
      <c r="D48" s="83"/>
      <c r="E48" s="72"/>
      <c r="F48" s="55"/>
      <c r="G48" s="57"/>
      <c r="H48" s="84"/>
      <c r="I48" s="52"/>
      <c r="J48" s="92"/>
      <c r="K48" s="13">
        <f t="shared" si="0"/>
        <v>0</v>
      </c>
      <c r="L48" s="36"/>
      <c r="M48" s="36"/>
      <c r="N48" s="36"/>
      <c r="O48" s="36"/>
      <c r="P48" s="36"/>
      <c r="Q48" s="36"/>
      <c r="R48" s="36"/>
      <c r="S48" s="36"/>
    </row>
    <row r="49" spans="2:19" x14ac:dyDescent="0.25">
      <c r="B49" s="55"/>
      <c r="C49" s="8"/>
      <c r="D49" s="8"/>
      <c r="E49" s="87"/>
      <c r="F49" s="8"/>
      <c r="H49" s="8"/>
      <c r="I49" s="100"/>
      <c r="J49" s="92"/>
      <c r="K49" s="13">
        <f t="shared" si="0"/>
        <v>0</v>
      </c>
      <c r="L49" s="36"/>
      <c r="M49" s="36"/>
      <c r="N49" s="36"/>
      <c r="O49" s="36"/>
      <c r="P49" s="36"/>
      <c r="Q49" s="36"/>
      <c r="R49" s="36"/>
      <c r="S49" s="36"/>
    </row>
    <row r="50" spans="2:19" x14ac:dyDescent="0.25">
      <c r="B50" s="55"/>
      <c r="C50" s="8"/>
      <c r="D50" s="8"/>
      <c r="E50" s="87"/>
      <c r="F50" s="8"/>
      <c r="G50" s="8"/>
      <c r="H50" s="8"/>
      <c r="I50" s="8"/>
      <c r="J50" s="92"/>
      <c r="K50" s="13">
        <f t="shared" si="0"/>
        <v>0</v>
      </c>
      <c r="L50" s="36"/>
      <c r="M50" s="36"/>
      <c r="N50" s="36"/>
      <c r="O50" s="36"/>
      <c r="P50" s="36"/>
      <c r="Q50" s="36"/>
      <c r="R50" s="36"/>
      <c r="S50" s="36"/>
    </row>
    <row r="51" spans="2:19" x14ac:dyDescent="0.25">
      <c r="B51" s="55"/>
      <c r="C51" s="8"/>
      <c r="D51" s="8"/>
      <c r="E51" s="87"/>
      <c r="F51" s="8"/>
      <c r="G51" s="61"/>
      <c r="H51" s="10"/>
      <c r="I51" s="58"/>
      <c r="J51" s="92"/>
      <c r="K51" s="13">
        <f t="shared" si="0"/>
        <v>0</v>
      </c>
      <c r="L51" s="36"/>
      <c r="M51" s="36"/>
      <c r="N51" s="36"/>
      <c r="O51" s="36"/>
      <c r="P51" s="36"/>
      <c r="Q51" s="36"/>
      <c r="R51" s="36"/>
      <c r="S51" s="36"/>
    </row>
    <row r="52" spans="2:19" x14ac:dyDescent="0.25">
      <c r="B52" s="55"/>
      <c r="C52" s="8"/>
      <c r="D52" s="8"/>
      <c r="E52" s="87"/>
      <c r="F52" s="8"/>
      <c r="G52" s="8"/>
      <c r="H52" s="8"/>
      <c r="I52" s="8"/>
      <c r="J52" s="92"/>
      <c r="K52" s="13">
        <f t="shared" si="0"/>
        <v>0</v>
      </c>
      <c r="L52" s="36"/>
      <c r="M52" s="36"/>
      <c r="N52" s="36"/>
      <c r="O52" s="36"/>
      <c r="P52" s="36"/>
      <c r="Q52" s="36"/>
      <c r="R52" s="36"/>
      <c r="S52" s="36"/>
    </row>
    <row r="53" spans="2:19" x14ac:dyDescent="0.25">
      <c r="B53" s="55"/>
      <c r="C53" s="8"/>
      <c r="D53" s="8"/>
      <c r="E53" s="87"/>
      <c r="F53" s="8"/>
      <c r="G53" s="8"/>
      <c r="H53" s="8"/>
      <c r="I53" s="8"/>
      <c r="J53" s="92"/>
      <c r="K53" s="13">
        <f t="shared" si="0"/>
        <v>0</v>
      </c>
      <c r="L53" s="36"/>
      <c r="M53" s="36"/>
      <c r="N53" s="36"/>
      <c r="O53" s="36"/>
      <c r="P53" s="36"/>
      <c r="Q53" s="36"/>
      <c r="R53" s="36"/>
      <c r="S53" s="36"/>
    </row>
    <row r="54" spans="2:19" x14ac:dyDescent="0.25">
      <c r="B54" s="55"/>
      <c r="C54" s="8"/>
      <c r="D54" s="8"/>
      <c r="E54" s="87"/>
      <c r="F54" s="8"/>
      <c r="G54" s="61"/>
      <c r="H54" s="10"/>
      <c r="I54" s="58"/>
      <c r="J54" s="92"/>
      <c r="K54" s="13">
        <f t="shared" si="0"/>
        <v>0</v>
      </c>
      <c r="L54" s="36"/>
      <c r="M54" s="36"/>
      <c r="N54" s="36"/>
      <c r="O54" s="36"/>
      <c r="P54" s="36"/>
      <c r="Q54" s="36"/>
      <c r="R54" s="36"/>
      <c r="S54" s="36"/>
    </row>
    <row r="55" spans="2:19" x14ac:dyDescent="0.25">
      <c r="B55" s="55"/>
      <c r="C55" s="8"/>
      <c r="D55" s="8"/>
      <c r="E55" s="55"/>
      <c r="F55" s="8"/>
      <c r="G55" s="8"/>
      <c r="H55" s="8"/>
      <c r="I55" s="8"/>
      <c r="J55" s="92"/>
      <c r="K55" s="13">
        <f t="shared" si="0"/>
        <v>0</v>
      </c>
      <c r="L55" s="36"/>
      <c r="M55" s="36"/>
      <c r="N55" s="36"/>
      <c r="O55" s="36"/>
      <c r="P55" s="36"/>
      <c r="Q55" s="36"/>
      <c r="R55" s="36"/>
      <c r="S55" s="36"/>
    </row>
    <row r="56" spans="2:19" x14ac:dyDescent="0.25">
      <c r="B56" s="55"/>
      <c r="C56" s="8"/>
      <c r="D56" s="8"/>
      <c r="E56" s="55"/>
      <c r="F56" s="8"/>
      <c r="G56" s="81"/>
      <c r="H56" s="8"/>
      <c r="I56" s="8"/>
      <c r="J56" s="92"/>
      <c r="K56" s="13">
        <f t="shared" si="0"/>
        <v>0</v>
      </c>
      <c r="L56" s="36"/>
      <c r="M56" s="36"/>
      <c r="N56" s="36"/>
      <c r="O56" s="36"/>
      <c r="P56" s="36"/>
      <c r="Q56" s="36"/>
      <c r="R56" s="36"/>
      <c r="S56" s="36"/>
    </row>
    <row r="57" spans="2:19" x14ac:dyDescent="0.25">
      <c r="B57" s="55"/>
      <c r="C57" s="8"/>
      <c r="D57" s="8"/>
      <c r="E57" s="55"/>
      <c r="F57" s="8"/>
      <c r="G57" s="61"/>
      <c r="H57" s="10"/>
      <c r="I57" s="58"/>
      <c r="J57" s="92"/>
      <c r="K57" s="13">
        <f t="shared" si="0"/>
        <v>0</v>
      </c>
      <c r="L57" s="36"/>
      <c r="M57" s="36"/>
      <c r="N57" s="36"/>
      <c r="O57" s="36"/>
      <c r="P57" s="36"/>
      <c r="Q57" s="36"/>
      <c r="R57" s="36"/>
      <c r="S57" s="36"/>
    </row>
    <row r="58" spans="2:19" x14ac:dyDescent="0.25">
      <c r="B58" s="55"/>
      <c r="C58" s="8"/>
      <c r="D58" s="8"/>
      <c r="E58" s="55"/>
      <c r="F58" s="8"/>
      <c r="G58" s="8"/>
      <c r="H58" s="8"/>
      <c r="I58" s="8"/>
      <c r="J58" s="92"/>
      <c r="K58" s="13">
        <f t="shared" si="0"/>
        <v>0</v>
      </c>
      <c r="L58" s="36"/>
      <c r="M58" s="36"/>
      <c r="N58" s="36"/>
      <c r="O58" s="36"/>
      <c r="P58" s="36"/>
      <c r="Q58" s="36"/>
      <c r="R58" s="36"/>
      <c r="S58" s="36"/>
    </row>
    <row r="59" spans="2:19" x14ac:dyDescent="0.25">
      <c r="B59" s="55"/>
      <c r="C59" s="8"/>
      <c r="D59" s="8"/>
      <c r="E59" s="55"/>
      <c r="F59" s="8"/>
      <c r="G59" s="8"/>
      <c r="H59" s="8"/>
      <c r="I59" s="8"/>
      <c r="J59" s="92"/>
      <c r="K59" s="13">
        <f t="shared" si="0"/>
        <v>0</v>
      </c>
      <c r="L59" s="36"/>
      <c r="M59" s="36"/>
      <c r="N59" s="36"/>
      <c r="O59" s="36"/>
      <c r="P59" s="36"/>
      <c r="Q59" s="36"/>
      <c r="R59" s="36"/>
      <c r="S59" s="36"/>
    </row>
    <row r="60" spans="6:19" x14ac:dyDescent="0.25">
      <c r="F60" t="s">
        <v>476</v>
      </c>
      <c r="J60" s="75">
        <f>SUM(J4:J59)</f>
        <v>380</v>
      </c>
      <c r="K60" s="13">
        <f t="shared" si="0"/>
        <v>1292</v>
      </c>
      <c r="L60" s="36"/>
      <c r="M60" s="36"/>
      <c r="N60" s="36"/>
      <c r="O60" s="36"/>
      <c r="P60" s="36"/>
      <c r="Q60" s="36"/>
      <c r="R60" s="36"/>
      <c r="S60" s="36"/>
    </row>
    <row r="61" spans="9:19" x14ac:dyDescent="0.25">
      <c r="I61" s="53"/>
      <c r="L61" s="36"/>
      <c r="M61" s="36"/>
      <c r="N61" s="36"/>
      <c r="O61" s="36"/>
      <c r="P61" s="36"/>
      <c r="Q61" s="36"/>
      <c r="R61" s="36"/>
      <c r="S61" s="36"/>
    </row>
    <row r="62" spans="9:19" x14ac:dyDescent="0.25">
      <c r="I62" s="54"/>
      <c r="L62" s="36"/>
      <c r="M62" s="36"/>
      <c r="N62" s="36"/>
      <c r="O62" s="36"/>
      <c r="P62" s="36"/>
      <c r="Q62" s="36"/>
      <c r="R62" s="36"/>
      <c r="S62" s="36"/>
    </row>
    <row r="63" spans="9:19" x14ac:dyDescent="0.25">
      <c r="I63" s="53"/>
      <c r="L63" s="36"/>
      <c r="M63" s="36"/>
      <c r="N63" s="36"/>
      <c r="O63" s="36"/>
      <c r="P63" s="36"/>
      <c r="Q63" s="36"/>
      <c r="R63" s="36"/>
      <c r="S63" s="36"/>
    </row>
    <row r="64" spans="9:19" x14ac:dyDescent="0.25">
      <c r="I64" s="54"/>
      <c r="L64" s="36"/>
      <c r="M64" s="36"/>
      <c r="N64" s="36"/>
      <c r="O64" s="36"/>
      <c r="P64" s="36"/>
      <c r="Q64" s="36"/>
      <c r="R64" s="36"/>
      <c r="S64" s="36"/>
    </row>
    <row r="65" spans="9:9" x14ac:dyDescent="0.25">
      <c r="I65" s="53"/>
    </row>
    <row r="66" spans="9:9" x14ac:dyDescent="0.25">
      <c r="I66" s="54"/>
    </row>
    <row r="69" spans="9:9" x14ac:dyDescent="0.25">
      <c r="I69" s="53"/>
    </row>
    <row r="70" spans="9:9" x14ac:dyDescent="0.25">
      <c r="I70" s="54"/>
    </row>
    <row r="72" spans="9:9" x14ac:dyDescent="0.25">
      <c r="I72" s="53"/>
    </row>
    <row r="73" spans="9:9" x14ac:dyDescent="0.25">
      <c r="I73" s="54"/>
    </row>
    <row r="84" ht="15.75" customHeight="1" spans="2:11" x14ac:dyDescent="0.25">
      <c r="B84" s="51" t="s">
        <v>123</v>
      </c>
      <c r="C84" s="51"/>
      <c r="D84" s="51"/>
      <c r="E84" s="51"/>
      <c r="F84" s="51"/>
      <c r="G84" s="51"/>
      <c r="H84" s="51"/>
      <c r="I84" s="51"/>
      <c r="J84" s="51"/>
      <c r="K84" s="51"/>
    </row>
    <row r="85" spans="2:11" x14ac:dyDescent="0.25">
      <c r="B85" s="1" t="s">
        <v>0</v>
      </c>
      <c r="C85" s="1" t="s">
        <v>124</v>
      </c>
      <c r="D85" s="2" t="s">
        <v>61</v>
      </c>
      <c r="E85" s="2" t="s">
        <v>9</v>
      </c>
      <c r="F85" s="2" t="s">
        <v>10</v>
      </c>
      <c r="G85" s="2" t="s">
        <v>62</v>
      </c>
      <c r="H85" s="2" t="s">
        <v>11</v>
      </c>
      <c r="I85" s="2" t="s">
        <v>12</v>
      </c>
      <c r="J85" s="44" t="s">
        <v>64</v>
      </c>
      <c r="K85" s="45" t="s">
        <v>13</v>
      </c>
    </row>
    <row r="86" spans="2:11" x14ac:dyDescent="0.25">
      <c r="B86" s="36"/>
      <c r="C86" s="36"/>
      <c r="D86" s="36"/>
      <c r="E86" s="36"/>
      <c r="F86" s="36"/>
      <c r="G86" s="36"/>
      <c r="H86" s="36"/>
      <c r="I86" s="36"/>
      <c r="J86" s="36"/>
      <c r="K86" s="36"/>
    </row>
    <row r="87" spans="2:11" x14ac:dyDescent="0.25">
      <c r="B87" s="36"/>
      <c r="C87" s="36"/>
      <c r="D87" s="36"/>
      <c r="E87" s="36"/>
      <c r="F87" s="36"/>
      <c r="G87" s="36"/>
      <c r="H87" s="36"/>
      <c r="I87" s="36"/>
      <c r="J87" s="36"/>
      <c r="K87" s="36"/>
    </row>
    <row r="88" spans="2:12" x14ac:dyDescent="0.25"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53"/>
    </row>
    <row r="89" spans="2:11" x14ac:dyDescent="0.25">
      <c r="B89" s="36"/>
      <c r="C89" s="36"/>
      <c r="D89" s="36"/>
      <c r="E89" s="36"/>
      <c r="F89" s="36"/>
      <c r="G89" s="36"/>
      <c r="H89" s="36"/>
      <c r="I89" s="36"/>
      <c r="J89" s="36"/>
      <c r="K89" s="36"/>
    </row>
    <row r="90" spans="2:11" x14ac:dyDescent="0.25">
      <c r="B90" s="36"/>
      <c r="C90" s="36"/>
      <c r="D90" s="36"/>
      <c r="E90" s="36"/>
      <c r="F90" s="36"/>
      <c r="G90" s="36"/>
      <c r="H90" s="36"/>
      <c r="I90" s="36"/>
      <c r="J90" s="36"/>
      <c r="K90" s="36"/>
    </row>
    <row r="91" spans="2:11" x14ac:dyDescent="0.25">
      <c r="B91" s="36"/>
      <c r="C91" s="36"/>
      <c r="D91" s="36"/>
      <c r="E91" s="36"/>
      <c r="F91" s="36"/>
      <c r="G91" s="36"/>
      <c r="H91" s="36"/>
      <c r="I91" s="36"/>
      <c r="J91" s="36"/>
      <c r="K91" s="36"/>
    </row>
    <row r="92" spans="2:11" x14ac:dyDescent="0.25">
      <c r="B92" s="36"/>
      <c r="C92" s="36"/>
      <c r="D92" s="36"/>
      <c r="E92" s="36"/>
      <c r="F92" s="36"/>
      <c r="G92" s="36"/>
      <c r="H92" s="36"/>
      <c r="I92" s="36"/>
      <c r="J92" s="36"/>
      <c r="K92" s="36"/>
    </row>
    <row r="93" spans="2:11" x14ac:dyDescent="0.25">
      <c r="B93" s="36"/>
      <c r="C93" s="36"/>
      <c r="D93" s="36"/>
      <c r="E93" s="36"/>
      <c r="F93" s="36"/>
      <c r="G93" s="36"/>
      <c r="H93" s="36"/>
      <c r="I93" s="36"/>
      <c r="J93" s="36"/>
      <c r="K93" s="36"/>
    </row>
    <row r="94" spans="2:11" x14ac:dyDescent="0.25">
      <c r="B94" s="36"/>
      <c r="C94" s="36"/>
      <c r="D94" s="36"/>
      <c r="E94" s="36"/>
      <c r="F94" s="36"/>
      <c r="G94" s="36"/>
      <c r="H94" s="36"/>
      <c r="I94" s="36"/>
      <c r="J94" s="36"/>
      <c r="K94" s="36"/>
    </row>
    <row r="100" spans="12:12" x14ac:dyDescent="0.25">
      <c r="L100" s="54"/>
    </row>
  </sheetData>
  <hyperlinks>
    <hyperlink ref="H4" r:id="rId1"/>
    <hyperlink ref="I4" r:id="rId2"/>
    <hyperlink ref="H5" r:id="rId3"/>
    <hyperlink ref="I5" r:id="rId4"/>
  </hyperlinks>
  <pageMargins left="0.7" right="0.7" top="0.75" bottom="0.75" header="0.3" footer="0.3"/>
  <pageSetup paperSize="9" orientation="portrait" horizontalDpi="360" verticalDpi="36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TODO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  <vt:lpstr>ENERO</vt:lpstr>
      <vt:lpstr>FEBRERO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Herrera</dc:creator>
  <cp:lastModifiedBy>Fabio Herrera</cp:lastModifiedBy>
  <dcterms:created xsi:type="dcterms:W3CDTF">2025-06-19T21:14:47Z</dcterms:created>
  <dcterms:modified xsi:type="dcterms:W3CDTF">2026-03-13T07:58:58Z</dcterms:modified>
</cp:coreProperties>
</file>